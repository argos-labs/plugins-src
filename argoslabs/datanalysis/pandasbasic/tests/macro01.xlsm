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0" yWindow="0" windowWidth="21600" windowHeight="9735" activeTab="2"/>
  </bookViews>
  <sheets>
    <sheet name="HR_data" sheetId="13" r:id="rId1"/>
    <sheet name="Namelist" sheetId="11" r:id="rId2"/>
    <sheet name="Result" sheetId="12" r:id="rId3"/>
  </sheets>
  <externalReferences>
    <externalReference r:id="rId4"/>
    <externalReference r:id="rId5"/>
  </externalReferences>
  <definedNames>
    <definedName name="_xlnm._FilterDatabase" localSheetId="0" hidden="1">HR_data!$A$4:$K$186</definedName>
    <definedName name="_xlnm._FilterDatabase" localSheetId="2" hidden="1">Result!$A$14:$O$52</definedName>
    <definedName name="BUYER" localSheetId="0">OFFSET([1]Namelist!$B$5, 0, 0, COUNTA([1]Namelist!$B:$B)-2)</definedName>
    <definedName name="BUYER" localSheetId="2">OFFSET([2]Namelist!$B$5, 0, 0, COUNTA([2]Namelist!$B:$B)-2)</definedName>
    <definedName name="BUYER">OFFSET(Namelist!$B$5, 0, 0, COUNTA(Namelist!$B:$B)-2)</definedName>
    <definedName name="CODE" localSheetId="0">OFFSET(HR_data!$B$5, 0, 0, COUNTA(HR_data!$B:$B)-3,1)</definedName>
    <definedName name="CODE" localSheetId="2">OFFSET([2]HR_data!$B$5, 0, 0, COUNTA([2]HR_data!$B:$B)-3,1)</definedName>
    <definedName name="CODE">OFFSET(#REF!, 0, 0, COUNTA(#REF!)-3,1)</definedName>
    <definedName name="MODEL" localSheetId="0">OFFSET([1]Namelist!$D$5, 0, 0, COUNTA([1]Namelist!$D:$D)-2)</definedName>
    <definedName name="MODEL" localSheetId="2">OFFSET([2]Namelist!$D$5, 0, 0, COUNTA([2]Namelist!$D:$D)-2)</definedName>
    <definedName name="MODEL">OFFSET(Namelist!$D$5, 0, 0, COUNTA(Namelist!$D:$D)-2)</definedName>
    <definedName name="NAME" localSheetId="0">OFFSET(HR_data!$B$5, 0, 0, COUNTA(HR_data!$B:$B)-2,2)</definedName>
    <definedName name="NAME" localSheetId="2">OFFSET([2]HR_data!$B$5, 0, 0, COUNTA([2]HR_data!$B:$B)-2,2)</definedName>
    <definedName name="NAME">OFFSET(#REF!, 0, 0, COUNTA(#REF!)-2,2)</definedName>
    <definedName name="_xlnm.Print_Area" localSheetId="2">Result!$A$1:$P$162</definedName>
  </definedNames>
  <calcPr calcId="152511"/>
  <fileRecoveryPr autoRecover="0"/>
</workbook>
</file>

<file path=xl/calcChain.xml><?xml version="1.0" encoding="utf-8"?>
<calcChain xmlns="http://schemas.openxmlformats.org/spreadsheetml/2006/main">
  <c r="A17" i="12" l="1"/>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C18" i="12"/>
  <c r="C28" i="12" l="1"/>
  <c r="A16" i="12" l="1"/>
  <c r="C30" i="12"/>
  <c r="C33" i="12" l="1"/>
  <c r="C17" i="12" l="1"/>
  <c r="C50" i="12" l="1"/>
  <c r="C49" i="12"/>
  <c r="C48" i="12"/>
  <c r="C47" i="12"/>
  <c r="C43" i="12" l="1"/>
  <c r="C42" i="12"/>
  <c r="C27" i="12"/>
  <c r="C26" i="12"/>
  <c r="C32" i="12" l="1"/>
  <c r="C35" i="12" l="1"/>
  <c r="C31" i="12" l="1"/>
  <c r="C39" i="12" l="1"/>
  <c r="C38" i="12"/>
  <c r="C52" i="12" l="1"/>
  <c r="C51" i="12"/>
  <c r="C46" i="12"/>
  <c r="C45" i="12"/>
  <c r="C44" i="12"/>
  <c r="C34" i="12"/>
  <c r="C20" i="12"/>
  <c r="C19" i="12"/>
  <c r="C41" i="12" l="1"/>
  <c r="C40" i="12"/>
  <c r="C37" i="12"/>
  <c r="C36" i="12"/>
  <c r="C29" i="12"/>
  <c r="C25" i="12"/>
  <c r="C24" i="12"/>
  <c r="C23" i="12"/>
  <c r="C22" i="12"/>
  <c r="C21" i="12"/>
  <c r="C16" i="12"/>
  <c r="C15" i="12"/>
  <c r="A15" i="12" l="1"/>
  <c r="C6" i="12" l="1"/>
</calcChain>
</file>

<file path=xl/sharedStrings.xml><?xml version="1.0" encoding="utf-8"?>
<sst xmlns="http://schemas.openxmlformats.org/spreadsheetml/2006/main" count="518" uniqueCount="232">
  <si>
    <t>STT</t>
  </si>
  <si>
    <t>BỘ PHẬN</t>
  </si>
  <si>
    <t>Insur</t>
  </si>
  <si>
    <t>MÃ NV</t>
  </si>
  <si>
    <t>Code</t>
  </si>
  <si>
    <t>사번</t>
  </si>
  <si>
    <t>ex) S2,S5</t>
  </si>
  <si>
    <t>ex) 2017-01-01</t>
    <phoneticPr fontId="2" type="noConversion"/>
  </si>
  <si>
    <t>ex) 160</t>
    <phoneticPr fontId="2" type="noConversion"/>
  </si>
  <si>
    <t>on the list</t>
    <phoneticPr fontId="2" type="noConversion"/>
  </si>
  <si>
    <t>ex) G10</t>
    <phoneticPr fontId="2" type="noConversion"/>
  </si>
  <si>
    <t>CODE</t>
    <phoneticPr fontId="2" type="noConversion"/>
  </si>
  <si>
    <t>NAME</t>
    <phoneticPr fontId="2" type="noConversion"/>
  </si>
  <si>
    <t>LINE</t>
    <phoneticPr fontId="2" type="noConversion"/>
  </si>
  <si>
    <t>MODEL</t>
    <phoneticPr fontId="2" type="noConversion"/>
  </si>
  <si>
    <t>PLANNED CT</t>
    <phoneticPr fontId="2" type="noConversion"/>
  </si>
  <si>
    <t>BUYER</t>
    <phoneticPr fontId="2" type="noConversion"/>
  </si>
  <si>
    <t>Names for a MODEL list</t>
    <phoneticPr fontId="2" type="noConversion"/>
  </si>
  <si>
    <t>Names for a BUYER list</t>
    <phoneticPr fontId="2" type="noConversion"/>
  </si>
  <si>
    <t>ROLE</t>
    <phoneticPr fontId="2" type="noConversion"/>
  </si>
  <si>
    <t>SKILL TYPE</t>
    <phoneticPr fontId="2" type="noConversion"/>
  </si>
  <si>
    <t xml:space="preserve">No. </t>
    <phoneticPr fontId="2" type="noConversion"/>
  </si>
  <si>
    <t xml:space="preserve">CODE </t>
    <phoneticPr fontId="2" type="noConversion"/>
  </si>
  <si>
    <t xml:space="preserve">NAME </t>
    <phoneticPr fontId="2" type="noConversion"/>
  </si>
  <si>
    <t xml:space="preserve">DATE </t>
    <phoneticPr fontId="2" type="noConversion"/>
  </si>
  <si>
    <t xml:space="preserve">DAYS </t>
    <phoneticPr fontId="2" type="noConversion"/>
  </si>
  <si>
    <t xml:space="preserve">STAGE </t>
    <phoneticPr fontId="2" type="noConversion"/>
  </si>
  <si>
    <t xml:space="preserve">SKILL TYPE </t>
    <phoneticPr fontId="2" type="noConversion"/>
  </si>
  <si>
    <t>K2</t>
    <phoneticPr fontId="2" type="noConversion"/>
  </si>
  <si>
    <t>LS</t>
    <phoneticPr fontId="2" type="noConversion"/>
  </si>
  <si>
    <t>NORTHFACE</t>
    <phoneticPr fontId="2" type="noConversion"/>
  </si>
  <si>
    <t>NEPA</t>
    <phoneticPr fontId="2" type="noConversion"/>
  </si>
  <si>
    <t>BLACKYAK</t>
    <phoneticPr fontId="2" type="noConversion"/>
  </si>
  <si>
    <t>MILLE</t>
    <phoneticPr fontId="2" type="noConversion"/>
  </si>
  <si>
    <t>LAFUMA</t>
    <phoneticPr fontId="2" type="noConversion"/>
  </si>
  <si>
    <t>YOUNGIN</t>
    <phoneticPr fontId="2" type="noConversion"/>
  </si>
  <si>
    <t>STAFILD</t>
    <phoneticPr fontId="2" type="noConversion"/>
  </si>
  <si>
    <t>HWASEUNG</t>
  </si>
  <si>
    <t>FORET</t>
    <phoneticPr fontId="2" type="noConversion"/>
  </si>
  <si>
    <t>CROSS TR</t>
    <phoneticPr fontId="2" type="noConversion"/>
  </si>
  <si>
    <t>PROSPECS</t>
  </si>
  <si>
    <t>INDOOR N9</t>
  </si>
  <si>
    <t>INDOOR N10</t>
  </si>
  <si>
    <t>Main</t>
  </si>
  <si>
    <t>ex) 2017123456</t>
  </si>
  <si>
    <t>CROSS LITE 701-704</t>
  </si>
  <si>
    <t>POINT TN 101-102</t>
  </si>
  <si>
    <t>CROSS TR 401-402</t>
  </si>
  <si>
    <t>COMODO</t>
  </si>
  <si>
    <t>COMFORT 171-172</t>
  </si>
  <si>
    <t>MILITARY BOOTS</t>
  </si>
  <si>
    <t xml:space="preserve">STAFILD BOOTS </t>
  </si>
  <si>
    <t>NIKE</t>
  </si>
  <si>
    <t>SIENA</t>
  </si>
  <si>
    <t>Phạm Thị Bích Huyền</t>
  </si>
  <si>
    <t>26/09/2017</t>
  </si>
  <si>
    <t>27/09/2017</t>
  </si>
  <si>
    <t>Nguyễn Thị Ngọc Linh</t>
  </si>
  <si>
    <t>Ngô Thị Mộng Xoàn</t>
  </si>
  <si>
    <t>Đoàn Thị Mỹ Nương</t>
  </si>
  <si>
    <t>Lý Thị Bích Ly</t>
  </si>
  <si>
    <t>Châu Thị Cẩm Xuyến</t>
  </si>
  <si>
    <t>16/03/2018</t>
  </si>
  <si>
    <t>Huỳnh Thị Yến</t>
  </si>
  <si>
    <t>15/03/2018</t>
  </si>
  <si>
    <t>DATE</t>
    <phoneticPr fontId="2" type="noConversion"/>
  </si>
  <si>
    <t>BUYER</t>
    <phoneticPr fontId="2" type="noConversion"/>
  </si>
  <si>
    <t>DAYS</t>
    <phoneticPr fontId="2" type="noConversion"/>
  </si>
  <si>
    <t>GROUP</t>
    <phoneticPr fontId="2" type="noConversion"/>
  </si>
  <si>
    <t>STAGE</t>
    <phoneticPr fontId="2" type="noConversion"/>
  </si>
  <si>
    <t>MACHINE</t>
    <phoneticPr fontId="2" type="noConversion"/>
  </si>
  <si>
    <t>ACTUAL CT</t>
    <phoneticPr fontId="2" type="noConversion"/>
  </si>
  <si>
    <r>
      <rPr>
        <b/>
        <sz val="11"/>
        <color rgb="FF0000FF"/>
        <rFont val="맑은 고딕"/>
        <family val="3"/>
        <charset val="129"/>
      </rPr>
      <t>↑</t>
    </r>
    <r>
      <rPr>
        <b/>
        <sz val="11"/>
        <color rgb="FF0000FF"/>
        <rFont val="Arial"/>
        <family val="2"/>
      </rPr>
      <t xml:space="preserve"> Don't touch this cell</t>
    </r>
  </si>
  <si>
    <t>ex) D+0</t>
    <phoneticPr fontId="2" type="noConversion"/>
  </si>
  <si>
    <t>ex) 132</t>
    <phoneticPr fontId="2" type="noConversion"/>
  </si>
  <si>
    <t>ex) Main</t>
    <phoneticPr fontId="2" type="noConversion"/>
  </si>
  <si>
    <r>
      <rPr>
        <b/>
        <sz val="10"/>
        <color rgb="FFFF0000"/>
        <rFont val="MS Gothic"/>
        <family val="3"/>
        <charset val="128"/>
      </rPr>
      <t>※</t>
    </r>
    <r>
      <rPr>
        <b/>
        <sz val="10"/>
        <color rgb="FFFF0000"/>
        <rFont val="Arial"/>
        <family val="2"/>
      </rPr>
      <t xml:space="preserve"> For new workers with no CODE from HR, 
     insert a line without CODE first, and fill in the CODE and name later. </t>
    </r>
  </si>
  <si>
    <t xml:space="preserve">LINE </t>
    <phoneticPr fontId="2" type="noConversion"/>
  </si>
  <si>
    <t xml:space="preserve">BUYER </t>
    <phoneticPr fontId="2" type="noConversion"/>
  </si>
  <si>
    <t xml:space="preserve">MODEL </t>
    <phoneticPr fontId="2" type="noConversion"/>
  </si>
  <si>
    <t xml:space="preserve">GROUP </t>
    <phoneticPr fontId="2" type="noConversion"/>
  </si>
  <si>
    <t xml:space="preserve">MACHINE </t>
    <phoneticPr fontId="2" type="noConversion"/>
  </si>
  <si>
    <t xml:space="preserve">ROLE </t>
    <phoneticPr fontId="2" type="noConversion"/>
  </si>
  <si>
    <t>Bùi Thị Nga</t>
  </si>
  <si>
    <t>Nguyễn Thị Trúc</t>
  </si>
  <si>
    <t>Võ Thị Thanh Trúc</t>
  </si>
  <si>
    <t>Đoàn Thị Thúy Diễm</t>
  </si>
  <si>
    <t>29/09/2017</t>
  </si>
  <si>
    <t>Lý Thị Duyên</t>
  </si>
  <si>
    <t>16/10/2017</t>
  </si>
  <si>
    <t>Ngô Thị Thảo Ngân</t>
  </si>
  <si>
    <t>29/06/2017</t>
  </si>
  <si>
    <t>Võ Thị Kim Quyên</t>
  </si>
  <si>
    <t>25/08/2017</t>
  </si>
  <si>
    <t>Lê Thị Bé Duyên</t>
  </si>
  <si>
    <t>28/03/2018</t>
  </si>
  <si>
    <t>Trần Thị Thu Hiền</t>
  </si>
  <si>
    <t>17/07/2018</t>
  </si>
  <si>
    <t>Bùi Thị Hồng Hoa</t>
  </si>
  <si>
    <t>24/09/2018</t>
  </si>
  <si>
    <t>EIDER</t>
  </si>
  <si>
    <t>CARLO</t>
  </si>
  <si>
    <t>CANZANO</t>
  </si>
  <si>
    <t>Nguyễn Thị Kim Thoa</t>
  </si>
  <si>
    <t>15/02/2019</t>
  </si>
  <si>
    <t>Nguyễn Thị Nhớ</t>
  </si>
  <si>
    <t>19/02/2019</t>
  </si>
  <si>
    <t>Phạm Thị Thu Oanh</t>
  </si>
  <si>
    <t>Nguyễn Trúc Ly</t>
  </si>
  <si>
    <t>Nguyễn Thị Hồng Yến</t>
  </si>
  <si>
    <t>Nguyễn Thị Cam Ly</t>
  </si>
  <si>
    <t>Lê Thị Thuyên Trúc</t>
  </si>
  <si>
    <t>26/3/2019</t>
  </si>
  <si>
    <t>PERIOD</t>
  </si>
  <si>
    <t>K2-86</t>
  </si>
  <si>
    <t>Phạm Thị Thu</t>
  </si>
  <si>
    <t>CILENTO GTX</t>
  </si>
  <si>
    <t>Nguyễn Thị Mộng Thu</t>
  </si>
  <si>
    <t>Nguyễn Thị Nước</t>
  </si>
  <si>
    <t>HỌ VÀ TÊN</t>
    <phoneticPr fontId="4" type="noConversion"/>
  </si>
  <si>
    <t>NGÀY VÀO</t>
    <phoneticPr fontId="4" type="noConversion"/>
  </si>
  <si>
    <t>BỘ PHẬN</t>
    <phoneticPr fontId="4" type="noConversion"/>
  </si>
  <si>
    <t>No.</t>
    <phoneticPr fontId="4" type="noConversion"/>
  </si>
  <si>
    <t>Full Name</t>
    <phoneticPr fontId="4" type="noConversion"/>
  </si>
  <si>
    <t>Starting Day</t>
    <phoneticPr fontId="4" type="noConversion"/>
  </si>
  <si>
    <t>New</t>
    <phoneticPr fontId="4" type="noConversion"/>
  </si>
  <si>
    <t>EXP</t>
    <phoneticPr fontId="4" type="noConversion"/>
  </si>
  <si>
    <t>DEPT.</t>
    <phoneticPr fontId="4" type="noConversion"/>
  </si>
  <si>
    <t>Process</t>
    <phoneticPr fontId="4" type="noConversion"/>
  </si>
  <si>
    <t>순서</t>
    <phoneticPr fontId="4" type="noConversion"/>
  </si>
  <si>
    <t>성명</t>
    <phoneticPr fontId="4" type="noConversion"/>
  </si>
  <si>
    <t>신입</t>
    <phoneticPr fontId="4" type="noConversion"/>
  </si>
  <si>
    <t>경력</t>
    <phoneticPr fontId="4" type="noConversion"/>
  </si>
  <si>
    <t>부서</t>
    <phoneticPr fontId="4" type="noConversion"/>
  </si>
  <si>
    <t>공정</t>
    <phoneticPr fontId="4" type="noConversion"/>
  </si>
  <si>
    <t>Trần Thị Điểu</t>
  </si>
  <si>
    <t>K2-83</t>
  </si>
  <si>
    <t>Sub</t>
  </si>
  <si>
    <t>LINE13</t>
  </si>
  <si>
    <t>BUCKET D WALKER V2 AIR</t>
  </si>
  <si>
    <t>DISCOVERY</t>
  </si>
  <si>
    <t xml:space="preserve">ACTUAL CT </t>
  </si>
  <si>
    <t>BALKAN</t>
  </si>
  <si>
    <t>Nguyễn Thị Nhang</t>
  </si>
  <si>
    <t>ACRE</t>
  </si>
  <si>
    <t>G2</t>
  </si>
  <si>
    <t>1N Flat</t>
  </si>
  <si>
    <t>G4</t>
  </si>
  <si>
    <t>G5</t>
  </si>
  <si>
    <t>Handiwork</t>
  </si>
  <si>
    <t>Zigzag</t>
  </si>
  <si>
    <t>G9</t>
  </si>
  <si>
    <t>1N Post</t>
  </si>
  <si>
    <t>1N Roller Post</t>
  </si>
  <si>
    <t>G10</t>
  </si>
  <si>
    <t>G12</t>
  </si>
  <si>
    <t>G13</t>
  </si>
  <si>
    <t>2N Post</t>
  </si>
  <si>
    <t>2N Roller Post</t>
  </si>
  <si>
    <t>G15</t>
  </si>
  <si>
    <t>G17</t>
  </si>
  <si>
    <t>G19</t>
  </si>
  <si>
    <t>G23</t>
  </si>
  <si>
    <t>G6</t>
  </si>
  <si>
    <t>Lê Ngọc Thủy</t>
  </si>
  <si>
    <t>Punching</t>
  </si>
  <si>
    <t>Punching M/C</t>
  </si>
  <si>
    <t>NEPA</t>
  </si>
  <si>
    <t>CANNETO GTX</t>
  </si>
  <si>
    <t>G24</t>
  </si>
  <si>
    <t xml:space="preserve">PLANNED CT </t>
  </si>
  <si>
    <t>G20</t>
  </si>
  <si>
    <t>G22</t>
  </si>
  <si>
    <t>S13-1</t>
  </si>
  <si>
    <t>Trần Hỷ</t>
  </si>
  <si>
    <t>SELLANO GTX</t>
  </si>
  <si>
    <t>PS3-1</t>
  </si>
  <si>
    <t>PS3-2</t>
  </si>
  <si>
    <t>G3</t>
  </si>
  <si>
    <t>TN3</t>
  </si>
  <si>
    <t>TN1</t>
  </si>
  <si>
    <t>TN4</t>
  </si>
  <si>
    <t>PS6,PS7</t>
  </si>
  <si>
    <t>Hotmelt M/C</t>
  </si>
  <si>
    <t>G7</t>
  </si>
  <si>
    <t>PS8</t>
  </si>
  <si>
    <t>Computer Stitching</t>
  </si>
  <si>
    <t>S17</t>
  </si>
  <si>
    <t>PS5,S14,S18-1</t>
  </si>
  <si>
    <t>S15,S16</t>
  </si>
  <si>
    <t>G21</t>
  </si>
  <si>
    <t>S19</t>
  </si>
  <si>
    <t>S20,S28,S29</t>
  </si>
  <si>
    <t>Hotmelt M/c</t>
  </si>
  <si>
    <t>S25-2,S26</t>
  </si>
  <si>
    <t>S25-3</t>
  </si>
  <si>
    <t>Turn Over Collar Lining</t>
  </si>
  <si>
    <t>Folding w/ M/C</t>
  </si>
  <si>
    <t>Folding M/C</t>
  </si>
  <si>
    <t>S4,PS12</t>
  </si>
  <si>
    <t>S3</t>
  </si>
  <si>
    <t>A1,TN9</t>
  </si>
  <si>
    <t>TN8</t>
  </si>
  <si>
    <t>S1,TN6</t>
  </si>
  <si>
    <t>TN7-1</t>
  </si>
  <si>
    <t>PS11-2,S10</t>
  </si>
  <si>
    <t>S24</t>
  </si>
  <si>
    <t>Mai Thị Hồng Tươi</t>
  </si>
  <si>
    <t>G16</t>
  </si>
  <si>
    <t>Hammering</t>
  </si>
  <si>
    <t>Hammering M/C</t>
  </si>
  <si>
    <t>Nguyễn Phú Đức</t>
  </si>
  <si>
    <t>G11</t>
  </si>
  <si>
    <t>S8,S9</t>
  </si>
  <si>
    <t>Lê Thị Ngọc Nhàng</t>
  </si>
  <si>
    <t>Trần Phước Lộc</t>
  </si>
  <si>
    <t>G14</t>
  </si>
  <si>
    <t>S11,S12</t>
  </si>
  <si>
    <t>TN7-2</t>
  </si>
  <si>
    <t>S27,A2</t>
  </si>
  <si>
    <t>S13-2</t>
  </si>
  <si>
    <t>Lê Quang Tuyến</t>
  </si>
  <si>
    <t>G8</t>
  </si>
  <si>
    <t>S2-1</t>
  </si>
  <si>
    <t>S2-2</t>
  </si>
  <si>
    <t>PS11-1,PS13</t>
  </si>
  <si>
    <t>S25-1,S21,S22,S23</t>
  </si>
  <si>
    <t>PS9,PS10</t>
  </si>
  <si>
    <t>S5,S6,S7</t>
  </si>
  <si>
    <t>Lương Thị Anh Thư</t>
  </si>
  <si>
    <t>D+21</t>
  </si>
  <si>
    <t>TN5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</si>
</sst>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_-* #,##0_-;\-* #,##0_-;_-* &quot;-&quot;_-;_-@_-"/>
    <numFmt numFmtId="165" formatCode="_-* #,##0.00_-;\-* #,##0.00_-;_-* &quot;-&quot;??_-;_-@_-"/>
    <numFmt numFmtId="166" formatCode="_-* #,##0.0_-;\-* #,##0.0_-;_-* &quot;-&quot;_-;_-@_-"/>
    <numFmt numFmtId="167" formatCode="dd\/mm\/yyyy"/>
    <numFmt numFmtId="168" formatCode="yyyy\-mm\-dd"/>
  </numFmts>
  <fonts count="43">
    <font>
      <sz val="11"/>
      <color theme="1"/>
      <name val="Calibri"/>
      <family val="2"/>
      <charset val="129"/>
      <scheme val="minor"/>
    </font>
    <font>
      <sz val="11"/>
      <color theme="1"/>
      <name val="Calibri"/>
      <family val="2"/>
      <scheme val="minor"/>
    </font>
    <font>
      <sz val="8"/>
      <name val="Calibri"/>
      <family val="2"/>
      <charset val="129"/>
      <scheme val="minor"/>
    </font>
    <font>
      <sz val="11"/>
      <color theme="0"/>
      <name val="Calibri"/>
      <family val="2"/>
      <charset val="129"/>
      <scheme val="minor"/>
    </font>
    <font>
      <sz val="11"/>
      <color theme="1"/>
      <name val="Calibri"/>
      <family val="2"/>
      <charset val="129"/>
      <scheme val="minor"/>
    </font>
    <font>
      <sz val="10"/>
      <name val="Arial"/>
      <family val="2"/>
    </font>
    <font>
      <sz val="10"/>
      <name val="Calibri"/>
      <family val="2"/>
      <scheme val="minor"/>
    </font>
    <font>
      <sz val="10"/>
      <color theme="1"/>
      <name val="Calibri"/>
      <family val="2"/>
      <scheme val="minor"/>
    </font>
    <font>
      <sz val="8"/>
      <color theme="1"/>
      <name val="Calibri"/>
      <family val="2"/>
      <scheme val="minor"/>
    </font>
    <font>
      <sz val="11"/>
      <color theme="1"/>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63"/>
      <name val="Calibri"/>
      <family val="2"/>
    </font>
    <font>
      <sz val="11"/>
      <color indexed="17"/>
      <name val="Calibri"/>
      <family val="2"/>
    </font>
    <font>
      <b/>
      <sz val="15"/>
      <color indexed="22"/>
      <name val="Calibri"/>
      <family val="2"/>
    </font>
    <font>
      <b/>
      <sz val="13"/>
      <color indexed="22"/>
      <name val="Calibri"/>
      <family val="2"/>
    </font>
    <font>
      <b/>
      <sz val="11"/>
      <color indexed="22"/>
      <name val="Calibri"/>
      <family val="2"/>
    </font>
    <font>
      <sz val="11"/>
      <color indexed="22"/>
      <name val="Calibri"/>
      <family val="2"/>
    </font>
    <font>
      <sz val="11"/>
      <color indexed="52"/>
      <name val="Calibri"/>
      <family val="2"/>
    </font>
    <font>
      <sz val="11"/>
      <color indexed="19"/>
      <name val="Calibri"/>
      <family val="2"/>
    </font>
    <font>
      <b/>
      <sz val="11"/>
      <color indexed="23"/>
      <name val="Calibri"/>
      <family val="2"/>
    </font>
    <font>
      <sz val="10"/>
      <color indexed="8"/>
      <name val="Arial"/>
      <family val="2"/>
    </font>
    <font>
      <b/>
      <sz val="18"/>
      <color indexed="22"/>
      <name val="Cambria"/>
      <family val="2"/>
    </font>
    <font>
      <b/>
      <sz val="11"/>
      <color indexed="8"/>
      <name val="Calibri"/>
      <family val="2"/>
    </font>
    <font>
      <sz val="11"/>
      <color indexed="10"/>
      <name val="Calibri"/>
      <family val="2"/>
    </font>
    <font>
      <sz val="10"/>
      <name val="Calibri"/>
      <family val="3"/>
      <charset val="129"/>
      <scheme val="minor"/>
    </font>
    <font>
      <sz val="8"/>
      <name val="Calibri"/>
      <family val="3"/>
      <charset val="129"/>
      <scheme val="minor"/>
    </font>
    <font>
      <b/>
      <sz val="11"/>
      <color theme="0"/>
      <name val="Calibri"/>
      <family val="3"/>
      <charset val="129"/>
      <scheme val="minor"/>
    </font>
    <font>
      <b/>
      <sz val="14"/>
      <color theme="1"/>
      <name val="Calibri"/>
      <family val="3"/>
      <charset val="129"/>
      <scheme val="minor"/>
    </font>
    <font>
      <b/>
      <sz val="11"/>
      <color rgb="FF0000FF"/>
      <name val="Arial"/>
      <family val="2"/>
    </font>
    <font>
      <b/>
      <sz val="10"/>
      <color rgb="FFFF0000"/>
      <name val="Arial"/>
      <family val="2"/>
    </font>
    <font>
      <b/>
      <sz val="11"/>
      <color rgb="FF0000FF"/>
      <name val="맑은 고딕"/>
      <family val="3"/>
      <charset val="129"/>
    </font>
    <font>
      <sz val="11"/>
      <color theme="1"/>
      <name val="Arial"/>
      <family val="2"/>
    </font>
    <font>
      <b/>
      <sz val="20"/>
      <color rgb="FF0000FF"/>
      <name val="Arial"/>
      <family val="2"/>
    </font>
    <font>
      <b/>
      <sz val="11"/>
      <color theme="0"/>
      <name val="Arial"/>
      <family val="2"/>
    </font>
    <font>
      <sz val="10"/>
      <color theme="9" tint="-0.249977111117893"/>
      <name val="Arial"/>
      <family val="2"/>
    </font>
    <font>
      <b/>
      <sz val="10"/>
      <color rgb="FF00B050"/>
      <name val="Arial"/>
      <family val="2"/>
    </font>
    <font>
      <b/>
      <sz val="10"/>
      <color rgb="FFFF0000"/>
      <name val="MS Gothic"/>
      <family val="3"/>
      <charset val="128"/>
    </font>
    <font>
      <b/>
      <sz val="11"/>
      <color rgb="FFFF0000"/>
      <name val="Arial"/>
      <family val="2"/>
    </font>
    <font>
      <sz val="11"/>
      <name val="Arial"/>
      <family val="2"/>
    </font>
  </fonts>
  <fills count="23">
    <fill>
      <patternFill patternType="none"/>
    </fill>
    <fill>
      <patternFill patternType="gray125"/>
    </fill>
    <fill>
      <patternFill patternType="solid">
        <fgColor theme="4"/>
      </patternFill>
    </fill>
    <fill>
      <patternFill patternType="solid">
        <fgColor rgb="FFFFFFCC"/>
        <bgColor indexed="64"/>
      </patternFill>
    </fill>
    <fill>
      <patternFill patternType="solid">
        <fgColor theme="8" tint="0.39997558519241921"/>
        <bgColor indexed="64"/>
      </patternFill>
    </fill>
    <fill>
      <patternFill patternType="solid">
        <fgColor indexed="59"/>
      </patternFill>
    </fill>
    <fill>
      <patternFill patternType="solid">
        <fgColor indexed="56"/>
      </patternFill>
    </fill>
    <fill>
      <patternFill patternType="solid">
        <fgColor indexed="60"/>
      </patternFill>
    </fill>
    <fill>
      <patternFill patternType="solid">
        <fgColor indexed="58"/>
      </patternFill>
    </fill>
    <fill>
      <patternFill patternType="solid">
        <fgColor indexed="62"/>
      </patternFill>
    </fill>
    <fill>
      <patternFill patternType="solid">
        <fgColor indexed="49"/>
      </patternFill>
    </fill>
    <fill>
      <patternFill patternType="solid">
        <fgColor indexed="61"/>
      </patternFill>
    </fill>
    <fill>
      <patternFill patternType="solid">
        <fgColor indexed="47"/>
      </patternFill>
    </fill>
    <fill>
      <patternFill patternType="solid">
        <fgColor indexed="10"/>
      </patternFill>
    </fill>
    <fill>
      <patternFill patternType="solid">
        <fgColor indexed="63"/>
      </patternFill>
    </fill>
    <fill>
      <patternFill patternType="solid">
        <fgColor indexed="53"/>
      </patternFill>
    </fill>
    <fill>
      <patternFill patternType="solid">
        <fgColor indexed="45"/>
      </patternFill>
    </fill>
    <fill>
      <patternFill patternType="solid">
        <fgColor indexed="9"/>
      </patternFill>
    </fill>
    <fill>
      <patternFill patternType="solid">
        <fgColor indexed="57"/>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theme="9" tint="0.5999938962981048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indexed="63"/>
      </left>
      <right style="thin">
        <color indexed="63"/>
      </right>
      <top style="thin">
        <color indexed="63"/>
      </top>
      <bottom style="thin">
        <color indexed="63"/>
      </bottom>
      <diagonal/>
    </border>
    <border>
      <left style="double">
        <color indexed="23"/>
      </left>
      <right style="double">
        <color indexed="23"/>
      </right>
      <top style="double">
        <color indexed="23"/>
      </top>
      <bottom style="double">
        <color indexed="23"/>
      </bottom>
      <diagonal/>
    </border>
    <border>
      <left/>
      <right/>
      <top/>
      <bottom style="thick">
        <color indexed="49"/>
      </bottom>
      <diagonal/>
    </border>
    <border>
      <left/>
      <right/>
      <top/>
      <bottom style="thick">
        <color indexed="62"/>
      </bottom>
      <diagonal/>
    </border>
    <border>
      <left/>
      <right/>
      <top/>
      <bottom style="medium">
        <color indexed="49"/>
      </bottom>
      <diagonal/>
    </border>
    <border>
      <left/>
      <right/>
      <top/>
      <bottom style="double">
        <color indexed="52"/>
      </bottom>
      <diagonal/>
    </border>
    <border>
      <left style="thin">
        <color indexed="61"/>
      </left>
      <right style="thin">
        <color indexed="61"/>
      </right>
      <top style="thin">
        <color indexed="61"/>
      </top>
      <bottom style="thin">
        <color indexed="61"/>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right style="thin">
        <color auto="1"/>
      </right>
      <top style="thin">
        <color auto="1"/>
      </top>
      <bottom style="thin">
        <color auto="1"/>
      </bottom>
      <diagonal/>
    </border>
    <border>
      <left style="thin">
        <color indexed="23"/>
      </left>
      <right style="thin">
        <color indexed="23"/>
      </right>
      <top style="thin">
        <color indexed="23"/>
      </top>
      <bottom style="thin">
        <color indexed="23"/>
      </bottom>
      <diagonal/>
    </border>
    <border>
      <left/>
      <right/>
      <top style="thin">
        <color indexed="49"/>
      </top>
      <bottom style="double">
        <color indexed="49"/>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164">
    <xf numFmtId="0" fontId="0" fillId="0" borderId="0">
      <alignment vertical="center"/>
    </xf>
    <xf numFmtId="0" fontId="3" fillId="2" borderId="0" applyNumberFormat="0" applyBorder="0" applyAlignment="0" applyProtection="0">
      <alignment vertical="center"/>
    </xf>
    <xf numFmtId="9" fontId="5" fillId="0" borderId="0" applyFont="0" applyFill="0" applyBorder="0" applyAlignment="0" applyProtection="0">
      <alignment vertical="center"/>
    </xf>
    <xf numFmtId="164" fontId="5" fillId="0" borderId="0" applyFont="0" applyFill="0" applyBorder="0" applyAlignment="0" applyProtection="0"/>
    <xf numFmtId="0" fontId="4" fillId="0" borderId="0">
      <alignment vertical="center"/>
    </xf>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7"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6"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9"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0" fillId="8"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3" fillId="17" borderId="3" applyNumberFormat="0" applyAlignment="0" applyProtection="0"/>
    <xf numFmtId="0" fontId="13" fillId="17" borderId="3" applyNumberFormat="0" applyAlignment="0" applyProtection="0"/>
    <xf numFmtId="0" fontId="14" fillId="11" borderId="4" applyNumberFormat="0" applyAlignment="0" applyProtection="0"/>
    <xf numFmtId="0" fontId="14" fillId="11" borderId="4" applyNumberFormat="0" applyAlignment="0" applyProtection="0"/>
    <xf numFmtId="164" fontId="4" fillId="0" borderId="0" applyFont="0" applyFill="0" applyBorder="0" applyAlignment="0" applyProtection="0">
      <alignment vertical="center"/>
    </xf>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7" fillId="0" borderId="5" applyNumberFormat="0" applyFill="0" applyAlignment="0" applyProtection="0"/>
    <xf numFmtId="0" fontId="17" fillId="0" borderId="5" applyNumberFormat="0" applyFill="0" applyAlignment="0" applyProtection="0"/>
    <xf numFmtId="0" fontId="18" fillId="0" borderId="6" applyNumberFormat="0" applyFill="0" applyAlignment="0" applyProtection="0"/>
    <xf numFmtId="0" fontId="18" fillId="0" borderId="6" applyNumberFormat="0" applyFill="0" applyAlignment="0" applyProtection="0"/>
    <xf numFmtId="0" fontId="19" fillId="0" borderId="7" applyNumberFormat="0" applyFill="0" applyAlignment="0" applyProtection="0"/>
    <xf numFmtId="0" fontId="19" fillId="0" borderId="7" applyNumberFormat="0" applyFill="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12" borderId="3" applyNumberFormat="0" applyAlignment="0" applyProtection="0"/>
    <xf numFmtId="0" fontId="20" fillId="12" borderId="3" applyNumberFormat="0" applyAlignment="0" applyProtection="0"/>
    <xf numFmtId="0" fontId="21" fillId="0" borderId="8" applyNumberFormat="0" applyFill="0" applyAlignment="0" applyProtection="0"/>
    <xf numFmtId="0" fontId="21" fillId="0" borderId="8" applyNumberFormat="0" applyFill="0" applyAlignment="0" applyProtection="0"/>
    <xf numFmtId="0" fontId="22" fillId="19" borderId="0" applyNumberFormat="0" applyBorder="0" applyAlignment="0" applyProtection="0"/>
    <xf numFmtId="0" fontId="22" fillId="19" borderId="0" applyNumberFormat="0" applyBorder="0" applyAlignment="0" applyProtection="0"/>
    <xf numFmtId="0" fontId="9"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9" fillId="0" borderId="0"/>
    <xf numFmtId="0" fontId="5" fillId="20" borderId="9" applyNumberFormat="0" applyFont="0" applyAlignment="0" applyProtection="0"/>
    <xf numFmtId="0" fontId="5" fillId="20" borderId="9" applyNumberFormat="0" applyFont="0" applyAlignment="0" applyProtection="0"/>
    <xf numFmtId="0" fontId="5" fillId="20" borderId="9" applyNumberFormat="0" applyFont="0" applyAlignment="0" applyProtection="0"/>
    <xf numFmtId="0" fontId="5" fillId="20" borderId="9" applyNumberFormat="0" applyFont="0" applyAlignment="0" applyProtection="0"/>
    <xf numFmtId="0" fontId="5" fillId="20" borderId="9" applyNumberFormat="0" applyFont="0" applyAlignment="0" applyProtection="0"/>
    <xf numFmtId="0" fontId="5" fillId="20" borderId="9" applyNumberFormat="0" applyFont="0" applyAlignment="0" applyProtection="0"/>
    <xf numFmtId="0" fontId="5" fillId="20" borderId="9" applyNumberFormat="0" applyFont="0" applyAlignment="0" applyProtection="0"/>
    <xf numFmtId="0" fontId="5" fillId="20" borderId="9" applyNumberFormat="0" applyFont="0" applyAlignment="0" applyProtection="0"/>
    <xf numFmtId="0" fontId="23" fillId="17" borderId="10" applyNumberFormat="0" applyAlignment="0" applyProtection="0"/>
    <xf numFmtId="0" fontId="23" fillId="17" borderId="10" applyNumberFormat="0" applyAlignment="0" applyProtection="0"/>
    <xf numFmtId="9" fontId="5" fillId="0" borderId="0" applyFont="0" applyFill="0" applyBorder="0" applyAlignment="0" applyProtection="0">
      <alignment vertical="center"/>
    </xf>
    <xf numFmtId="0" fontId="24" fillId="0" borderId="0">
      <alignment vertical="top"/>
    </xf>
    <xf numFmtId="0" fontId="25" fillId="0" borderId="0" applyNumberFormat="0" applyFill="0" applyBorder="0" applyAlignment="0" applyProtection="0"/>
    <xf numFmtId="0" fontId="25" fillId="0" borderId="0" applyNumberFormat="0" applyFill="0" applyBorder="0" applyAlignment="0" applyProtection="0"/>
    <xf numFmtId="0" fontId="26" fillId="0" borderId="11" applyNumberFormat="0" applyFill="0" applyAlignment="0" applyProtection="0"/>
    <xf numFmtId="0" fontId="26" fillId="0" borderId="11" applyNumberFormat="0" applyFill="0" applyAlignment="0" applyProtection="0"/>
    <xf numFmtId="0" fontId="27" fillId="0" borderId="0" applyNumberFormat="0" applyFill="0" applyBorder="0" applyAlignment="0" applyProtection="0"/>
    <xf numFmtId="0" fontId="27" fillId="0" borderId="0" applyNumberFormat="0" applyFill="0" applyBorder="0" applyAlignment="0" applyProtection="0"/>
    <xf numFmtId="165" fontId="4" fillId="0" borderId="0" applyFont="0" applyFill="0" applyBorder="0" applyAlignment="0" applyProtection="0">
      <alignment vertical="center"/>
    </xf>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23" fillId="17" borderId="15" applyNumberFormat="0" applyAlignment="0" applyProtection="0"/>
    <xf numFmtId="0" fontId="23" fillId="17" borderId="15" applyNumberFormat="0" applyAlignment="0" applyProtection="0"/>
    <xf numFmtId="0" fontId="26" fillId="0" borderId="16" applyNumberFormat="0" applyFill="0" applyAlignment="0" applyProtection="0"/>
    <xf numFmtId="0" fontId="26" fillId="0" borderId="16" applyNumberFormat="0" applyFill="0" applyAlignment="0" applyProtection="0"/>
  </cellStyleXfs>
  <cellXfs count="72">
    <xf numFmtId="0" fontId="0" fillId="0" borderId="0" xfId="0">
      <alignment vertical="center"/>
    </xf>
    <xf numFmtId="0" fontId="0" fillId="0" borderId="0" xfId="0" applyAlignment="1">
      <alignment horizontal="center" vertical="center"/>
    </xf>
    <xf numFmtId="0" fontId="0" fillId="0" borderId="1" xfId="0" applyBorder="1" applyAlignment="1">
      <alignment horizontal="center" vertical="center"/>
    </xf>
    <xf numFmtId="0" fontId="6" fillId="0" borderId="0" xfId="0" applyNumberFormat="1" applyFont="1" applyFill="1" applyAlignment="1">
      <alignment horizontal="center" vertical="center" wrapText="1"/>
    </xf>
    <xf numFmtId="0" fontId="6" fillId="0" borderId="0" xfId="0" applyFont="1" applyFill="1" applyAlignment="1">
      <alignment vertical="center" shrinkToFit="1"/>
    </xf>
    <xf numFmtId="0" fontId="6" fillId="4" borderId="0" xfId="0" applyFont="1" applyFill="1" applyAlignment="1">
      <alignment vertical="center" shrinkToFit="1"/>
    </xf>
    <xf numFmtId="0" fontId="6" fillId="0" borderId="0" xfId="0" applyFont="1" applyFill="1" applyAlignment="1">
      <alignment horizontal="center" vertical="center" shrinkToFit="1"/>
    </xf>
    <xf numFmtId="1" fontId="6" fillId="0" borderId="0" xfId="0" applyNumberFormat="1" applyFont="1" applyFill="1" applyAlignment="1">
      <alignment horizontal="center" vertical="center" shrinkToFit="1"/>
    </xf>
    <xf numFmtId="0" fontId="6" fillId="0" borderId="0" xfId="0" applyFont="1" applyFill="1" applyAlignment="1">
      <alignment horizontal="left" vertical="center" shrinkToFit="1"/>
    </xf>
    <xf numFmtId="167" fontId="6" fillId="0" borderId="0" xfId="0" applyNumberFormat="1" applyFont="1" applyFill="1" applyAlignment="1">
      <alignment horizontal="center" vertical="center" shrinkToFit="1"/>
    </xf>
    <xf numFmtId="14" fontId="6" fillId="0" borderId="0" xfId="0" applyNumberFormat="1" applyFont="1" applyFill="1" applyAlignment="1">
      <alignment horizontal="center" vertical="center" shrinkToFit="1"/>
    </xf>
    <xf numFmtId="0" fontId="6" fillId="0" borderId="12" xfId="0" applyFont="1" applyFill="1" applyBorder="1" applyAlignment="1">
      <alignment horizontal="center" vertical="center" shrinkToFit="1"/>
    </xf>
    <xf numFmtId="14" fontId="28" fillId="0" borderId="12" xfId="0" applyNumberFormat="1" applyFont="1" applyFill="1" applyBorder="1" applyAlignment="1">
      <alignment horizontal="center" vertical="center"/>
    </xf>
    <xf numFmtId="166" fontId="28" fillId="0" borderId="12" xfId="0" applyNumberFormat="1" applyFont="1" applyFill="1" applyBorder="1" applyAlignment="1" applyProtection="1">
      <alignment horizontal="center" vertical="center" shrinkToFit="1"/>
    </xf>
    <xf numFmtId="0" fontId="28" fillId="0" borderId="12" xfId="151" applyNumberFormat="1" applyFont="1" applyFill="1" applyBorder="1" applyAlignment="1" applyProtection="1">
      <alignment horizontal="center" vertical="center" shrinkToFit="1"/>
    </xf>
    <xf numFmtId="0" fontId="28" fillId="0" borderId="12" xfId="0" applyFont="1" applyFill="1" applyBorder="1" applyAlignment="1">
      <alignment horizontal="center" vertical="center"/>
    </xf>
    <xf numFmtId="0" fontId="6" fillId="0" borderId="12" xfId="4" applyNumberFormat="1" applyFont="1" applyFill="1" applyBorder="1" applyAlignment="1">
      <alignment horizontal="center" vertical="center"/>
    </xf>
    <xf numFmtId="0" fontId="30" fillId="2" borderId="1" xfId="1" applyFont="1" applyBorder="1" applyAlignment="1">
      <alignment horizontal="center" vertical="center"/>
    </xf>
    <xf numFmtId="0" fontId="31" fillId="22" borderId="13" xfId="0" applyFont="1" applyFill="1" applyBorder="1" applyAlignment="1">
      <alignment horizontal="center" vertical="center"/>
    </xf>
    <xf numFmtId="0" fontId="32" fillId="21" borderId="0" xfId="0" applyFont="1" applyFill="1" applyBorder="1" applyAlignment="1">
      <alignment horizontal="center" vertical="center"/>
    </xf>
    <xf numFmtId="0" fontId="35" fillId="0" borderId="0" xfId="0" applyFont="1" applyBorder="1" applyAlignment="1">
      <alignment horizontal="center" vertical="center"/>
    </xf>
    <xf numFmtId="14" fontId="35" fillId="0" borderId="0" xfId="0" applyNumberFormat="1" applyFont="1" applyBorder="1" applyAlignment="1">
      <alignment horizontal="center" vertical="center"/>
    </xf>
    <xf numFmtId="0" fontId="35" fillId="0" borderId="0" xfId="0" applyFont="1" applyBorder="1" applyAlignment="1">
      <alignment horizontal="center" vertical="center" shrinkToFit="1"/>
    </xf>
    <xf numFmtId="0" fontId="35" fillId="0" borderId="0" xfId="0" applyFont="1" applyAlignment="1">
      <alignment horizontal="center" vertical="center"/>
    </xf>
    <xf numFmtId="0" fontId="35" fillId="21" borderId="0" xfId="0" applyFont="1" applyFill="1" applyBorder="1" applyAlignment="1">
      <alignment horizontal="center" vertical="center"/>
    </xf>
    <xf numFmtId="14" fontId="35" fillId="21" borderId="0" xfId="0" applyNumberFormat="1" applyFont="1" applyFill="1" applyBorder="1" applyAlignment="1">
      <alignment horizontal="center" vertical="center"/>
    </xf>
    <xf numFmtId="0" fontId="35" fillId="21" borderId="0" xfId="0" applyFont="1" applyFill="1" applyBorder="1" applyAlignment="1">
      <alignment horizontal="center" vertical="center" shrinkToFit="1"/>
    </xf>
    <xf numFmtId="0" fontId="35" fillId="21" borderId="0" xfId="0" applyFont="1" applyFill="1" applyAlignment="1">
      <alignment horizontal="center" vertical="center"/>
    </xf>
    <xf numFmtId="0" fontId="37" fillId="2" borderId="1" xfId="1" applyFont="1" applyBorder="1" applyAlignment="1">
      <alignment horizontal="center" vertical="center"/>
    </xf>
    <xf numFmtId="14" fontId="37" fillId="2" borderId="1" xfId="1" applyNumberFormat="1" applyFont="1" applyBorder="1" applyAlignment="1">
      <alignment horizontal="center" vertical="center"/>
    </xf>
    <xf numFmtId="0" fontId="37" fillId="2" borderId="1" xfId="1" applyFont="1" applyBorder="1" applyAlignment="1">
      <alignment horizontal="center" vertical="center" shrinkToFit="1"/>
    </xf>
    <xf numFmtId="0" fontId="38" fillId="21" borderId="0" xfId="0" applyFont="1" applyFill="1" applyBorder="1" applyAlignment="1">
      <alignment horizontal="center" vertical="top"/>
    </xf>
    <xf numFmtId="14" fontId="38" fillId="21" borderId="0" xfId="0" applyNumberFormat="1" applyFont="1" applyFill="1" applyBorder="1" applyAlignment="1">
      <alignment horizontal="center" vertical="top"/>
    </xf>
    <xf numFmtId="0" fontId="38" fillId="21" borderId="0" xfId="0" applyFont="1" applyFill="1" applyBorder="1" applyAlignment="1">
      <alignment horizontal="center" vertical="top" shrinkToFit="1"/>
    </xf>
    <xf numFmtId="0" fontId="39" fillId="21" borderId="0" xfId="0" applyFont="1" applyFill="1" applyBorder="1" applyAlignment="1">
      <alignment vertical="center" wrapText="1"/>
    </xf>
    <xf numFmtId="0" fontId="35" fillId="0" borderId="1" xfId="0" applyFont="1" applyFill="1" applyBorder="1" applyAlignment="1">
      <alignment horizontal="center" vertical="center"/>
    </xf>
    <xf numFmtId="0" fontId="35" fillId="0" borderId="0" xfId="0" applyFont="1" applyFill="1" applyAlignment="1">
      <alignment horizontal="center" vertical="center"/>
    </xf>
    <xf numFmtId="0" fontId="35" fillId="0" borderId="14" xfId="0" applyFont="1" applyBorder="1" applyAlignment="1">
      <alignment horizontal="center" vertical="center"/>
    </xf>
    <xf numFmtId="168" fontId="35" fillId="0" borderId="12" xfId="0" applyNumberFormat="1" applyFont="1" applyBorder="1" applyAlignment="1">
      <alignment horizontal="center" vertical="center"/>
    </xf>
    <xf numFmtId="0" fontId="35" fillId="0" borderId="12" xfId="0" applyFont="1" applyBorder="1" applyAlignment="1">
      <alignment horizontal="center" vertical="center"/>
    </xf>
    <xf numFmtId="0" fontId="35" fillId="0" borderId="12" xfId="0" applyFont="1" applyFill="1" applyBorder="1" applyAlignment="1">
      <alignment horizontal="center" vertical="center" shrinkToFit="1"/>
    </xf>
    <xf numFmtId="0" fontId="41" fillId="21" borderId="0" xfId="0" applyFont="1" applyFill="1" applyBorder="1" applyAlignment="1">
      <alignment horizontal="center" vertical="center"/>
    </xf>
    <xf numFmtId="0" fontId="37" fillId="2" borderId="12" xfId="1" applyFont="1" applyBorder="1" applyAlignment="1">
      <alignment horizontal="center" vertical="center"/>
    </xf>
    <xf numFmtId="14" fontId="37" fillId="2" borderId="12" xfId="1" applyNumberFormat="1" applyFont="1" applyBorder="1" applyAlignment="1">
      <alignment horizontal="center" vertical="center"/>
    </xf>
    <xf numFmtId="0" fontId="37" fillId="2" borderId="12" xfId="1" applyFont="1" applyBorder="1" applyAlignment="1">
      <alignment horizontal="center" vertical="center" shrinkToFit="1"/>
    </xf>
    <xf numFmtId="0" fontId="35" fillId="0" borderId="12" xfId="0" applyFont="1" applyFill="1" applyBorder="1" applyAlignment="1">
      <alignment horizontal="center" vertical="center"/>
    </xf>
    <xf numFmtId="168" fontId="35" fillId="0" borderId="12" xfId="0" applyNumberFormat="1" applyFont="1" applyFill="1" applyBorder="1" applyAlignment="1">
      <alignment horizontal="center" vertical="center"/>
    </xf>
    <xf numFmtId="0" fontId="35" fillId="0" borderId="12" xfId="0" applyFont="1" applyBorder="1" applyAlignment="1">
      <alignment horizontal="center" vertical="center" shrinkToFit="1"/>
    </xf>
    <xf numFmtId="0" fontId="35" fillId="0" borderId="0" xfId="0" applyFont="1" applyFill="1" applyAlignment="1">
      <alignment horizontal="center" vertical="center"/>
    </xf>
    <xf numFmtId="0" fontId="42" fillId="0" borderId="0" xfId="0" applyFont="1" applyFill="1" applyAlignment="1">
      <alignment horizontal="center" vertical="center"/>
    </xf>
    <xf numFmtId="14" fontId="6" fillId="3" borderId="12" xfId="0" applyNumberFormat="1" applyFont="1" applyFill="1" applyBorder="1" applyAlignment="1">
      <alignment horizontal="center" vertical="center" wrapText="1"/>
    </xf>
    <xf numFmtId="0" fontId="6" fillId="0" borderId="12" xfId="0" applyFont="1" applyBorder="1" applyAlignment="1">
      <alignment horizontal="center" vertical="center" shrinkToFit="1"/>
    </xf>
    <xf numFmtId="0" fontId="6" fillId="0" borderId="12" xfId="0" applyFont="1" applyBorder="1" applyAlignment="1">
      <alignment horizontal="center" vertical="center"/>
    </xf>
    <xf numFmtId="14" fontId="6" fillId="0" borderId="12" xfId="0" applyNumberFormat="1" applyFont="1" applyFill="1" applyBorder="1" applyAlignment="1">
      <alignment horizontal="center" vertical="center"/>
    </xf>
    <xf numFmtId="166" fontId="6" fillId="0" borderId="12" xfId="0" applyNumberFormat="1" applyFont="1" applyFill="1" applyBorder="1" applyAlignment="1" applyProtection="1">
      <alignment horizontal="center" vertical="center" shrinkToFit="1"/>
    </xf>
    <xf numFmtId="0" fontId="6" fillId="0" borderId="12" xfId="0" applyNumberFormat="1" applyFont="1" applyFill="1" applyBorder="1" applyAlignment="1" applyProtection="1">
      <alignment horizontal="center" vertical="center" shrinkToFit="1"/>
    </xf>
    <xf numFmtId="0" fontId="7" fillId="0" borderId="12" xfId="0" applyFont="1" applyFill="1" applyBorder="1" applyAlignment="1">
      <alignment horizontal="center" vertical="center"/>
    </xf>
    <xf numFmtId="0" fontId="6" fillId="3" borderId="12" xfId="0" applyNumberFormat="1" applyFont="1" applyFill="1" applyBorder="1" applyAlignment="1">
      <alignment horizontal="center" vertical="center" wrapText="1"/>
    </xf>
    <xf numFmtId="0" fontId="28" fillId="0" borderId="17" xfId="0" applyFont="1" applyFill="1" applyBorder="1" applyAlignment="1">
      <alignment vertical="center"/>
    </xf>
    <xf numFmtId="0" fontId="29" fillId="0" borderId="17" xfId="0" applyFont="1" applyFill="1" applyBorder="1" applyAlignment="1">
      <alignment horizontal="center" vertical="center"/>
    </xf>
    <xf numFmtId="0" fontId="28" fillId="0" borderId="12" xfId="0" applyFont="1" applyFill="1" applyBorder="1" applyAlignment="1">
      <alignment horizontal="center" vertical="center" shrinkToFit="1"/>
    </xf>
    <xf numFmtId="0" fontId="6" fillId="0" borderId="12" xfId="0" applyFont="1" applyFill="1" applyBorder="1" applyAlignment="1">
      <alignment horizontal="center" vertical="center"/>
    </xf>
    <xf numFmtId="0" fontId="7" fillId="0" borderId="17" xfId="0" applyFont="1" applyFill="1" applyBorder="1" applyAlignment="1">
      <alignment vertical="center"/>
    </xf>
    <xf numFmtId="0" fontId="8" fillId="0" borderId="17" xfId="0" applyFont="1" applyFill="1" applyBorder="1" applyAlignment="1">
      <alignment horizontal="center" vertical="center"/>
    </xf>
    <xf numFmtId="0" fontId="8" fillId="0" borderId="17" xfId="0" applyFont="1" applyBorder="1" applyAlignment="1">
      <alignment horizontal="center" vertical="center"/>
    </xf>
    <xf numFmtId="0" fontId="42" fillId="0" borderId="12" xfId="0" applyFont="1" applyFill="1" applyBorder="1" applyAlignment="1">
      <alignment horizontal="center" vertical="center"/>
    </xf>
    <xf numFmtId="0" fontId="28" fillId="0" borderId="18" xfId="0" applyFont="1" applyFill="1" applyBorder="1" applyAlignment="1">
      <alignment vertical="center"/>
    </xf>
    <xf numFmtId="0" fontId="29" fillId="0" borderId="18" xfId="0" applyFont="1" applyFill="1" applyBorder="1" applyAlignment="1">
      <alignment horizontal="center" vertical="center"/>
    </xf>
    <xf numFmtId="0" fontId="6" fillId="3" borderId="17" xfId="0" applyNumberFormat="1" applyFont="1" applyFill="1" applyBorder="1" applyAlignment="1">
      <alignment horizontal="center" vertical="center" wrapText="1"/>
    </xf>
    <xf numFmtId="0" fontId="6" fillId="3" borderId="2" xfId="0" applyNumberFormat="1" applyFont="1" applyFill="1" applyBorder="1" applyAlignment="1">
      <alignment horizontal="center" vertical="center" wrapText="1"/>
    </xf>
    <xf numFmtId="0" fontId="36" fillId="21" borderId="0" xfId="0" applyFont="1" applyFill="1" applyBorder="1" applyAlignment="1">
      <alignment horizontal="left" vertical="center"/>
    </xf>
    <xf numFmtId="0" fontId="33" fillId="21" borderId="0" xfId="0" applyFont="1" applyFill="1" applyBorder="1" applyAlignment="1">
      <alignment horizontal="left" wrapText="1"/>
    </xf>
  </cellXfs>
  <cellStyles count="164">
    <cellStyle name="20% - Accent1 2" xfId="5"/>
    <cellStyle name="20% - Accent1 2 2" xfId="6"/>
    <cellStyle name="20% - Accent1 2 3" xfId="7"/>
    <cellStyle name="20% - Accent1 3" xfId="8"/>
    <cellStyle name="20% - Accent1 4" xfId="9"/>
    <cellStyle name="20% - Accent2 2" xfId="10"/>
    <cellStyle name="20% - Accent2 2 2" xfId="11"/>
    <cellStyle name="20% - Accent2 2 3" xfId="12"/>
    <cellStyle name="20% - Accent2 3" xfId="13"/>
    <cellStyle name="20% - Accent2 4" xfId="14"/>
    <cellStyle name="20% - Accent3 2" xfId="15"/>
    <cellStyle name="20% - Accent3 2 2" xfId="16"/>
    <cellStyle name="20% - Accent3 2 3" xfId="17"/>
    <cellStyle name="20% - Accent3 3" xfId="18"/>
    <cellStyle name="20% - Accent3 4" xfId="19"/>
    <cellStyle name="20% - Accent4 2" xfId="20"/>
    <cellStyle name="20% - Accent4 2 2" xfId="21"/>
    <cellStyle name="20% - Accent4 2 3" xfId="22"/>
    <cellStyle name="20% - Accent4 3" xfId="23"/>
    <cellStyle name="20% - Accent4 4" xfId="24"/>
    <cellStyle name="20% - Accent5 2" xfId="25"/>
    <cellStyle name="20% - Accent5 2 2" xfId="26"/>
    <cellStyle name="20% - Accent5 2 3" xfId="27"/>
    <cellStyle name="20% - Accent5 3" xfId="28"/>
    <cellStyle name="20% - Accent5 4" xfId="29"/>
    <cellStyle name="20% - Accent6 2" xfId="30"/>
    <cellStyle name="20% - Accent6 2 2" xfId="31"/>
    <cellStyle name="20% - Accent6 2 3" xfId="32"/>
    <cellStyle name="20% - Accent6 3" xfId="33"/>
    <cellStyle name="20% - Accent6 4" xfId="34"/>
    <cellStyle name="40% - Accent1 2" xfId="35"/>
    <cellStyle name="40% - Accent1 2 2" xfId="36"/>
    <cellStyle name="40% - Accent1 2 3" xfId="37"/>
    <cellStyle name="40% - Accent1 3" xfId="38"/>
    <cellStyle name="40% - Accent1 4" xfId="39"/>
    <cellStyle name="40% - Accent2 2" xfId="40"/>
    <cellStyle name="40% - Accent2 2 2" xfId="41"/>
    <cellStyle name="40% - Accent2 2 3" xfId="42"/>
    <cellStyle name="40% - Accent2 3" xfId="43"/>
    <cellStyle name="40% - Accent2 4" xfId="44"/>
    <cellStyle name="40% - Accent3 2" xfId="45"/>
    <cellStyle name="40% - Accent3 2 2" xfId="46"/>
    <cellStyle name="40% - Accent3 2 3" xfId="47"/>
    <cellStyle name="40% - Accent3 3" xfId="48"/>
    <cellStyle name="40% - Accent3 4" xfId="49"/>
    <cellStyle name="40% - Accent4 2" xfId="50"/>
    <cellStyle name="40% - Accent4 2 2" xfId="51"/>
    <cellStyle name="40% - Accent4 2 3" xfId="52"/>
    <cellStyle name="40% - Accent4 3" xfId="53"/>
    <cellStyle name="40% - Accent4 4" xfId="54"/>
    <cellStyle name="40% - Accent5 2" xfId="55"/>
    <cellStyle name="40% - Accent5 2 2" xfId="56"/>
    <cellStyle name="40% - Accent5 2 3" xfId="57"/>
    <cellStyle name="40% - Accent5 3" xfId="58"/>
    <cellStyle name="40% - Accent5 4" xfId="59"/>
    <cellStyle name="40% - Accent6 2" xfId="60"/>
    <cellStyle name="40% - Accent6 2 2" xfId="61"/>
    <cellStyle name="40% - Accent6 2 3" xfId="62"/>
    <cellStyle name="40% - Accent6 3" xfId="63"/>
    <cellStyle name="40% - Accent6 4" xfId="64"/>
    <cellStyle name="60% - Accent1 2" xfId="65"/>
    <cellStyle name="60% - Accent1 3" xfId="66"/>
    <cellStyle name="60% - Accent2 2" xfId="67"/>
    <cellStyle name="60% - Accent2 3" xfId="68"/>
    <cellStyle name="60% - Accent3 2" xfId="69"/>
    <cellStyle name="60% - Accent3 3" xfId="70"/>
    <cellStyle name="60% - Accent4 2" xfId="71"/>
    <cellStyle name="60% - Accent4 3" xfId="72"/>
    <cellStyle name="60% - Accent5 2" xfId="73"/>
    <cellStyle name="60% - Accent5 3" xfId="74"/>
    <cellStyle name="60% - Accent6 2" xfId="75"/>
    <cellStyle name="60% - Accent6 3" xfId="76"/>
    <cellStyle name="Accent1" xfId="1" builtinId="29"/>
    <cellStyle name="Accent1 2" xfId="77"/>
    <cellStyle name="Accent1 3" xfId="78"/>
    <cellStyle name="Accent2 2" xfId="79"/>
    <cellStyle name="Accent2 3" xfId="80"/>
    <cellStyle name="Accent3 2" xfId="81"/>
    <cellStyle name="Accent3 3" xfId="82"/>
    <cellStyle name="Accent4 2" xfId="83"/>
    <cellStyle name="Accent4 3" xfId="84"/>
    <cellStyle name="Accent5 2" xfId="85"/>
    <cellStyle name="Accent5 3" xfId="86"/>
    <cellStyle name="Accent6 2" xfId="87"/>
    <cellStyle name="Accent6 3" xfId="88"/>
    <cellStyle name="Bad 2" xfId="89"/>
    <cellStyle name="Bad 3" xfId="90"/>
    <cellStyle name="Calculation 2" xfId="91"/>
    <cellStyle name="Calculation 3" xfId="92"/>
    <cellStyle name="Check Cell 2" xfId="93"/>
    <cellStyle name="Check Cell 3" xfId="94"/>
    <cellStyle name="Comma" xfId="151" builtinId="3"/>
    <cellStyle name="Comma [0] 2" xfId="3"/>
    <cellStyle name="Comma [0] 3" xfId="95"/>
    <cellStyle name="Comma 2" xfId="96"/>
    <cellStyle name="Comma 2 2" xfId="97"/>
    <cellStyle name="Comma 2 2 2" xfId="98"/>
    <cellStyle name="Comma 2 3" xfId="99"/>
    <cellStyle name="Comma 2 3 2" xfId="100"/>
    <cellStyle name="Comma 2 4" xfId="101"/>
    <cellStyle name="Comma 3" xfId="102"/>
    <cellStyle name="Comma 3 2" xfId="103"/>
    <cellStyle name="Comma 4" xfId="104"/>
    <cellStyle name="Comma 4 2" xfId="156"/>
    <cellStyle name="Comma 4 3" xfId="152"/>
    <cellStyle name="Comma 5" xfId="105"/>
    <cellStyle name="Comma 5 2" xfId="157"/>
    <cellStyle name="Comma 5 3" xfId="153"/>
    <cellStyle name="Explanatory Text 2" xfId="106"/>
    <cellStyle name="Explanatory Text 3" xfId="107"/>
    <cellStyle name="Good 2" xfId="108"/>
    <cellStyle name="Good 3" xfId="109"/>
    <cellStyle name="Heading 1 2" xfId="110"/>
    <cellStyle name="Heading 1 3" xfId="111"/>
    <cellStyle name="Heading 2 2" xfId="112"/>
    <cellStyle name="Heading 2 3" xfId="113"/>
    <cellStyle name="Heading 3 2" xfId="114"/>
    <cellStyle name="Heading 3 3" xfId="115"/>
    <cellStyle name="Heading 4 2" xfId="116"/>
    <cellStyle name="Heading 4 3" xfId="117"/>
    <cellStyle name="Input 2" xfId="118"/>
    <cellStyle name="Input 3" xfId="119"/>
    <cellStyle name="Linked Cell 2" xfId="120"/>
    <cellStyle name="Linked Cell 3" xfId="121"/>
    <cellStyle name="Neutral 2" xfId="122"/>
    <cellStyle name="Neutral 3" xfId="123"/>
    <cellStyle name="Normal" xfId="0" builtinId="0"/>
    <cellStyle name="Normal 2" xfId="124"/>
    <cellStyle name="Normal 2 2" xfId="125"/>
    <cellStyle name="Normal 2 2 2" xfId="126"/>
    <cellStyle name="Normal 2 3" xfId="127"/>
    <cellStyle name="Normal 2 3 2" xfId="128"/>
    <cellStyle name="Normal 2 4" xfId="129"/>
    <cellStyle name="Normal 2 4 2" xfId="130"/>
    <cellStyle name="Normal 2 5" xfId="158"/>
    <cellStyle name="Normal 2 6" xfId="154"/>
    <cellStyle name="Normal 3" xfId="131"/>
    <cellStyle name="Normal 4" xfId="4"/>
    <cellStyle name="Normal 5" xfId="132"/>
    <cellStyle name="Normal 5 2" xfId="159"/>
    <cellStyle name="Normal 5 3" xfId="155"/>
    <cellStyle name="Note 2" xfId="133"/>
    <cellStyle name="Note 2 2" xfId="134"/>
    <cellStyle name="Note 2 2 2" xfId="135"/>
    <cellStyle name="Note 2 3" xfId="136"/>
    <cellStyle name="Note 2 3 2" xfId="137"/>
    <cellStyle name="Note 2 4" xfId="138"/>
    <cellStyle name="Note 3" xfId="139"/>
    <cellStyle name="Note 3 2" xfId="140"/>
    <cellStyle name="Output 2" xfId="141"/>
    <cellStyle name="Output 2 2" xfId="160"/>
    <cellStyle name="Output 3" xfId="142"/>
    <cellStyle name="Output 3 2" xfId="161"/>
    <cellStyle name="Percent 2" xfId="143"/>
    <cellStyle name="Style 1" xfId="144"/>
    <cellStyle name="Title 2" xfId="145"/>
    <cellStyle name="Title 3" xfId="146"/>
    <cellStyle name="Total 2" xfId="147"/>
    <cellStyle name="Total 2 2" xfId="162"/>
    <cellStyle name="Total 3" xfId="148"/>
    <cellStyle name="Total 3 2" xfId="163"/>
    <cellStyle name="Warning Text 2" xfId="149"/>
    <cellStyle name="Warning Text 3" xfId="150"/>
    <cellStyle name="백분율 2" xfId="2"/>
  </cellStyles>
  <dxfs count="191">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b/>
        <i val="0"/>
        <color rgb="FF9C0006"/>
      </font>
      <fill>
        <patternFill patternType="solid">
          <bgColor theme="5" tint="0.79998168889431442"/>
        </patternFill>
      </fill>
    </dxf>
    <dxf>
      <font>
        <b/>
        <i val="0"/>
        <color rgb="FF9C6500"/>
      </font>
      <fill>
        <patternFill>
          <bgColor rgb="FFFFEB9C"/>
        </patternFill>
      </fill>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00B050"/>
      </font>
    </dxf>
    <dxf>
      <font>
        <color rgb="FF9C0006"/>
      </font>
    </dxf>
    <dxf>
      <font>
        <color rgb="FF00B050"/>
      </font>
    </dxf>
    <dxf>
      <font>
        <color rgb="FF9C0006"/>
      </font>
    </dxf>
    <dxf>
      <font>
        <color rgb="FF9C0006"/>
      </font>
    </dxf>
    <dxf>
      <font>
        <color rgb="FF00B050"/>
      </font>
    </dxf>
    <dxf>
      <font>
        <color rgb="FF9C0006"/>
      </font>
    </dxf>
    <dxf>
      <font>
        <color rgb="FF00B050"/>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9C0006"/>
      </font>
    </dxf>
    <dxf>
      <font>
        <color rgb="FF00B050"/>
      </font>
    </dxf>
    <dxf>
      <font>
        <color rgb="FF9C0006"/>
      </font>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2.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264226</xdr:colOff>
      <xdr:row>7</xdr:row>
      <xdr:rowOff>95250</xdr:rowOff>
    </xdr:from>
    <xdr:to>
      <xdr:col>9</xdr:col>
      <xdr:colOff>552450</xdr:colOff>
      <xdr:row>9</xdr:row>
      <xdr:rowOff>47625</xdr:rowOff>
    </xdr:to>
    <xdr:sp macro="[0]!Clearcontents" textlink="">
      <xdr:nvSpPr>
        <xdr:cNvPr id="2" name="직사각형 1">
          <a:extLst>
            <a:ext uri="{FF2B5EF4-FFF2-40B4-BE49-F238E27FC236}">
              <a16:creationId xmlns="" xmlns:a16="http://schemas.microsoft.com/office/drawing/2014/main" id="{00000000-0008-0000-0200-000002000000}"/>
            </a:ext>
          </a:extLst>
        </xdr:cNvPr>
        <xdr:cNvSpPr/>
      </xdr:nvSpPr>
      <xdr:spPr>
        <a:xfrm>
          <a:off x="7627051" y="1819275"/>
          <a:ext cx="1688399" cy="447675"/>
        </a:xfrm>
        <a:prstGeom prst="rect">
          <a:avLst/>
        </a:prstGeom>
        <a:ln w="38100">
          <a:solidFill>
            <a:schemeClr val="bg1">
              <a:lumMod val="50000"/>
            </a:schemeClr>
          </a:solidFill>
        </a:ln>
      </xdr:spPr>
      <xdr:style>
        <a:lnRef idx="1">
          <a:schemeClr val="accent2"/>
        </a:lnRef>
        <a:fillRef idx="3">
          <a:schemeClr val="accent2"/>
        </a:fillRef>
        <a:effectRef idx="2">
          <a:schemeClr val="accent2"/>
        </a:effectRef>
        <a:fontRef idx="minor">
          <a:schemeClr val="lt1"/>
        </a:fontRef>
      </xdr:style>
      <xdr:txBody>
        <a:bodyPr rtlCol="0" anchor="ctr"/>
        <a:lstStyle/>
        <a:p>
          <a:pPr marL="0" indent="0" algn="ctr"/>
          <a:r>
            <a:rPr lang="en-US" altLang="ko-KR" sz="1400" b="1">
              <a:solidFill>
                <a:schemeClr val="lt1"/>
              </a:solidFill>
              <a:latin typeface="Arial" pitchFamily="34" charset="0"/>
              <a:ea typeface="+mn-ea"/>
              <a:cs typeface="Arial" pitchFamily="34" charset="0"/>
            </a:rPr>
            <a:t>CLEAR</a:t>
          </a:r>
          <a:r>
            <a:rPr lang="en-US" altLang="ko-KR" sz="1400" b="1" baseline="0">
              <a:solidFill>
                <a:schemeClr val="lt1"/>
              </a:solidFill>
              <a:latin typeface="Arial" pitchFamily="34" charset="0"/>
              <a:ea typeface="+mn-ea"/>
              <a:cs typeface="Arial" pitchFamily="34" charset="0"/>
            </a:rPr>
            <a:t> CONTENTS</a:t>
          </a:r>
          <a:endParaRPr lang="ko-KR" altLang="en-US" sz="1400" b="1">
            <a:solidFill>
              <a:schemeClr val="lt1"/>
            </a:solidFill>
            <a:latin typeface="Arial" pitchFamily="34" charset="0"/>
            <a:ea typeface="+mn-ea"/>
            <a:cs typeface="Arial" pitchFamily="34" charset="0"/>
          </a:endParaRPr>
        </a:p>
      </xdr:txBody>
    </xdr:sp>
    <xdr:clientData/>
  </xdr:twoCellAnchor>
  <xdr:twoCellAnchor>
    <xdr:from>
      <xdr:col>5</xdr:col>
      <xdr:colOff>207076</xdr:colOff>
      <xdr:row>7</xdr:row>
      <xdr:rowOff>95250</xdr:rowOff>
    </xdr:from>
    <xdr:to>
      <xdr:col>7</xdr:col>
      <xdr:colOff>76200</xdr:colOff>
      <xdr:row>9</xdr:row>
      <xdr:rowOff>47625</xdr:rowOff>
    </xdr:to>
    <xdr:sp macro="[0]!Addarowwithcontents" textlink="">
      <xdr:nvSpPr>
        <xdr:cNvPr id="3" name="직사각형 2">
          <a:extLst>
            <a:ext uri="{FF2B5EF4-FFF2-40B4-BE49-F238E27FC236}">
              <a16:creationId xmlns="" xmlns:a16="http://schemas.microsoft.com/office/drawing/2014/main" id="{00000000-0008-0000-0200-000003000000}"/>
            </a:ext>
          </a:extLst>
        </xdr:cNvPr>
        <xdr:cNvSpPr/>
      </xdr:nvSpPr>
      <xdr:spPr>
        <a:xfrm>
          <a:off x="5207701" y="1819275"/>
          <a:ext cx="2231324" cy="447675"/>
        </a:xfrm>
        <a:prstGeom prst="rect">
          <a:avLst/>
        </a:prstGeom>
        <a:ln w="38100">
          <a:solidFill>
            <a:schemeClr val="bg1">
              <a:lumMod val="50000"/>
            </a:schemeClr>
          </a:solidFill>
        </a:ln>
      </xdr:spPr>
      <xdr:style>
        <a:lnRef idx="1">
          <a:schemeClr val="accent2"/>
        </a:lnRef>
        <a:fillRef idx="3">
          <a:schemeClr val="accent2"/>
        </a:fillRef>
        <a:effectRef idx="2">
          <a:schemeClr val="accent2"/>
        </a:effectRef>
        <a:fontRef idx="minor">
          <a:schemeClr val="lt1"/>
        </a:fontRef>
      </xdr:style>
      <xdr:txBody>
        <a:bodyPr rtlCol="0" anchor="ctr"/>
        <a:lstStyle/>
        <a:p>
          <a:pPr algn="ctr"/>
          <a:r>
            <a:rPr lang="en-US" altLang="ko-KR" sz="1400" b="1">
              <a:latin typeface="Arial" pitchFamily="34" charset="0"/>
              <a:cs typeface="Arial" pitchFamily="34" charset="0"/>
            </a:rPr>
            <a:t>INSERT A LINE</a:t>
          </a:r>
          <a:endParaRPr lang="ko-KR" altLang="en-US" sz="1400" b="1">
            <a:latin typeface="Arial" pitchFamily="34" charset="0"/>
            <a:cs typeface="Arial" pitchFamily="34" charset="0"/>
          </a:endParaRPr>
        </a:p>
      </xdr:txBody>
    </xdr:sp>
    <xdr:clientData/>
  </xdr:twoCellAnchor>
  <xdr:twoCellAnchor>
    <xdr:from>
      <xdr:col>0</xdr:col>
      <xdr:colOff>342901</xdr:colOff>
      <xdr:row>1</xdr:row>
      <xdr:rowOff>57149</xdr:rowOff>
    </xdr:from>
    <xdr:to>
      <xdr:col>15</xdr:col>
      <xdr:colOff>180976</xdr:colOff>
      <xdr:row>10</xdr:row>
      <xdr:rowOff>123824</xdr:rowOff>
    </xdr:to>
    <xdr:sp macro="" textlink="">
      <xdr:nvSpPr>
        <xdr:cNvPr id="4" name="직사각형 3">
          <a:extLst>
            <a:ext uri="{FF2B5EF4-FFF2-40B4-BE49-F238E27FC236}">
              <a16:creationId xmlns="" xmlns:a16="http://schemas.microsoft.com/office/drawing/2014/main" id="{00000000-0008-0000-0200-000004000000}"/>
            </a:ext>
          </a:extLst>
        </xdr:cNvPr>
        <xdr:cNvSpPr/>
      </xdr:nvSpPr>
      <xdr:spPr>
        <a:xfrm>
          <a:off x="342901" y="176212"/>
          <a:ext cx="15006638" cy="2424112"/>
        </a:xfrm>
        <a:prstGeom prst="rect">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l"/>
          <a:r>
            <a:rPr lang="ko-KR" altLang="en-US" sz="1800" baseline="0">
              <a:solidFill>
                <a:srgbClr val="FF0000"/>
              </a:solidFill>
              <a:latin typeface="Arial" pitchFamily="34" charset="0"/>
              <a:cs typeface="Arial" pitchFamily="34" charset="0"/>
            </a:rPr>
            <a:t> </a:t>
          </a:r>
          <a:r>
            <a:rPr lang="en-US" altLang="ko-KR" sz="1800" baseline="0">
              <a:solidFill>
                <a:srgbClr val="FF0000"/>
              </a:solidFill>
              <a:latin typeface="Arial" pitchFamily="34" charset="0"/>
              <a:cs typeface="Arial" pitchFamily="34" charset="0"/>
            </a:rPr>
            <a:t>Fill in the blanks and press 'INSERT A LINE' button.</a:t>
          </a:r>
          <a:endParaRPr lang="ko-KR" altLang="en-US" sz="1800">
            <a:solidFill>
              <a:srgbClr val="FF0000"/>
            </a:solidFill>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SAMDUK%20VN\LINE%2013\LAUREN%20SLIP%20ON\13.08.18\Data_Sheet_(LINE13)_LAUREN_SLIP_ON_1808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Users\samduk\Downloads\Data_Sheet_(LINE10)_K2-14_1804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R_data"/>
      <sheetName val="Namelist"/>
      <sheetName val="Result"/>
    </sheetNames>
    <sheetDataSet>
      <sheetData sheetId="0"/>
      <sheetData sheetId="1">
        <row r="2">
          <cell r="B2" t="str">
            <v>Names for a BUYER list</v>
          </cell>
          <cell r="D2" t="str">
            <v>Names for a MODEL list</v>
          </cell>
        </row>
        <row r="4">
          <cell r="B4" t="str">
            <v>BUYER</v>
          </cell>
          <cell r="D4" t="str">
            <v>MODEL</v>
          </cell>
        </row>
        <row r="5">
          <cell r="B5" t="str">
            <v>K2</v>
          </cell>
          <cell r="D5" t="str">
            <v>FITNESS</v>
          </cell>
        </row>
        <row r="6">
          <cell r="B6" t="str">
            <v>LS</v>
          </cell>
          <cell r="D6" t="str">
            <v>FORET</v>
          </cell>
        </row>
        <row r="7">
          <cell r="B7" t="str">
            <v>NORTHFACE</v>
          </cell>
          <cell r="D7" t="str">
            <v>TROOPER</v>
          </cell>
        </row>
        <row r="8">
          <cell r="B8" t="str">
            <v>NEPA</v>
          </cell>
          <cell r="D8" t="str">
            <v>COMFORT 171-172</v>
          </cell>
        </row>
        <row r="9">
          <cell r="B9" t="str">
            <v>BLACKYAK</v>
          </cell>
          <cell r="D9" t="str">
            <v>CROSS TR</v>
          </cell>
        </row>
        <row r="10">
          <cell r="B10" t="str">
            <v>MILLE</v>
          </cell>
          <cell r="D10" t="str">
            <v>GALAXY 3 W'S</v>
          </cell>
        </row>
        <row r="11">
          <cell r="B11" t="str">
            <v>LAFUMA</v>
          </cell>
          <cell r="D11" t="str">
            <v>INDOOR N9</v>
          </cell>
        </row>
        <row r="12">
          <cell r="B12" t="str">
            <v>EIDER</v>
          </cell>
          <cell r="D12" t="str">
            <v>ACTIVE</v>
          </cell>
        </row>
        <row r="13">
          <cell r="B13" t="str">
            <v>YOUNGIN</v>
          </cell>
          <cell r="D13" t="str">
            <v>INDOOR N10</v>
          </cell>
        </row>
        <row r="14">
          <cell r="B14" t="str">
            <v>STAFILD</v>
          </cell>
          <cell r="D14" t="str">
            <v>CROSS LITE 701-704</v>
          </cell>
        </row>
        <row r="15">
          <cell r="B15" t="str">
            <v>HWASEUNG</v>
          </cell>
          <cell r="D15" t="str">
            <v>POINT TN 101-102</v>
          </cell>
        </row>
        <row r="16">
          <cell r="B16" t="str">
            <v>PROSPECS</v>
          </cell>
          <cell r="D16" t="str">
            <v>CROSS TR 401-402</v>
          </cell>
        </row>
        <row r="17">
          <cell r="B17" t="str">
            <v>NIKE</v>
          </cell>
          <cell r="D17" t="str">
            <v>COMODO</v>
          </cell>
        </row>
        <row r="18">
          <cell r="B18">
            <v>0</v>
          </cell>
          <cell r="D18" t="str">
            <v>MILITARY BOOTS</v>
          </cell>
        </row>
        <row r="19">
          <cell r="B19">
            <v>0</v>
          </cell>
          <cell r="D19" t="str">
            <v xml:space="preserve">STAFILD BOOTS </v>
          </cell>
        </row>
        <row r="20">
          <cell r="B20">
            <v>0</v>
          </cell>
          <cell r="D20" t="str">
            <v>SIENA</v>
          </cell>
        </row>
        <row r="21">
          <cell r="D21" t="str">
            <v>LAUREN SLIP ON</v>
          </cell>
        </row>
        <row r="22">
          <cell r="D22">
            <v>0</v>
          </cell>
        </row>
        <row r="23">
          <cell r="D23">
            <v>0</v>
          </cell>
        </row>
        <row r="24">
          <cell r="D24">
            <v>0</v>
          </cell>
        </row>
        <row r="25">
          <cell r="D25">
            <v>0</v>
          </cell>
        </row>
        <row r="26">
          <cell r="D26">
            <v>0</v>
          </cell>
        </row>
      </sheetData>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R_data"/>
      <sheetName val="Namelist"/>
      <sheetName val="Result"/>
    </sheetNames>
    <sheetDataSet>
      <sheetData sheetId="0">
        <row r="1">
          <cell r="B1" t="str">
            <v>MÃ NV</v>
          </cell>
        </row>
        <row r="2">
          <cell r="B2">
            <v>0</v>
          </cell>
        </row>
        <row r="3">
          <cell r="B3" t="str">
            <v>Code</v>
          </cell>
        </row>
        <row r="4">
          <cell r="B4" t="str">
            <v>사번</v>
          </cell>
        </row>
        <row r="5">
          <cell r="B5">
            <v>2017033008</v>
          </cell>
        </row>
        <row r="6">
          <cell r="B6">
            <v>2018010202</v>
          </cell>
        </row>
        <row r="7">
          <cell r="B7">
            <v>2017112723</v>
          </cell>
        </row>
        <row r="8">
          <cell r="B8">
            <v>2017120202</v>
          </cell>
        </row>
        <row r="9">
          <cell r="B9">
            <v>2017112720</v>
          </cell>
        </row>
        <row r="10">
          <cell r="B10">
            <v>2017121405</v>
          </cell>
        </row>
        <row r="11">
          <cell r="B11">
            <v>2017121410</v>
          </cell>
        </row>
        <row r="12">
          <cell r="B12">
            <v>2017121202</v>
          </cell>
        </row>
        <row r="13">
          <cell r="B13">
            <v>2017112726</v>
          </cell>
        </row>
        <row r="14">
          <cell r="B14">
            <v>2017121105</v>
          </cell>
        </row>
        <row r="15">
          <cell r="B15">
            <v>2017112725</v>
          </cell>
        </row>
        <row r="16">
          <cell r="B16">
            <v>2017112705</v>
          </cell>
        </row>
        <row r="17">
          <cell r="B17">
            <v>2017120708</v>
          </cell>
        </row>
        <row r="18">
          <cell r="B18">
            <v>2017120707</v>
          </cell>
        </row>
        <row r="19">
          <cell r="B19">
            <v>2017091125</v>
          </cell>
        </row>
        <row r="20">
          <cell r="B20">
            <v>2017082903</v>
          </cell>
        </row>
        <row r="21">
          <cell r="B21">
            <v>2017083106</v>
          </cell>
        </row>
        <row r="22">
          <cell r="B22">
            <v>2017062201</v>
          </cell>
        </row>
        <row r="23">
          <cell r="B23">
            <v>2017032813</v>
          </cell>
        </row>
        <row r="24">
          <cell r="B24">
            <v>2017052217</v>
          </cell>
        </row>
        <row r="25">
          <cell r="B25">
            <v>2017090509</v>
          </cell>
        </row>
        <row r="26">
          <cell r="B26">
            <v>2017091116</v>
          </cell>
        </row>
        <row r="27">
          <cell r="B27">
            <v>2017091108</v>
          </cell>
        </row>
        <row r="28">
          <cell r="B28">
            <v>2017090101</v>
          </cell>
        </row>
        <row r="29">
          <cell r="B29">
            <v>2017071402</v>
          </cell>
        </row>
        <row r="30">
          <cell r="B30">
            <v>2017091408</v>
          </cell>
        </row>
        <row r="31">
          <cell r="B31">
            <v>2017031418</v>
          </cell>
        </row>
        <row r="32">
          <cell r="B32">
            <v>2017080501</v>
          </cell>
        </row>
        <row r="33">
          <cell r="B33">
            <v>2017052928</v>
          </cell>
        </row>
        <row r="34">
          <cell r="B34">
            <v>2017090103</v>
          </cell>
        </row>
        <row r="35">
          <cell r="B35">
            <v>2017080206</v>
          </cell>
        </row>
        <row r="36">
          <cell r="B36">
            <v>2017082806</v>
          </cell>
        </row>
        <row r="37">
          <cell r="B37">
            <v>2017083113</v>
          </cell>
        </row>
        <row r="38">
          <cell r="B38">
            <v>2017073123</v>
          </cell>
        </row>
        <row r="39">
          <cell r="B39">
            <v>2017082111</v>
          </cell>
        </row>
        <row r="40">
          <cell r="B40">
            <v>2017073127</v>
          </cell>
        </row>
        <row r="41">
          <cell r="B41">
            <v>2017080739</v>
          </cell>
        </row>
        <row r="42">
          <cell r="B42">
            <v>2017080807</v>
          </cell>
        </row>
        <row r="43">
          <cell r="B43">
            <v>2017073131</v>
          </cell>
        </row>
        <row r="44">
          <cell r="B44">
            <v>2017073114</v>
          </cell>
        </row>
        <row r="45">
          <cell r="B45">
            <v>2017071232</v>
          </cell>
        </row>
        <row r="46">
          <cell r="B46">
            <v>2017041002</v>
          </cell>
        </row>
        <row r="47">
          <cell r="B47">
            <v>2017071311</v>
          </cell>
        </row>
        <row r="48">
          <cell r="B48">
            <v>2017071318</v>
          </cell>
        </row>
        <row r="49">
          <cell r="B49">
            <v>2017071009</v>
          </cell>
        </row>
        <row r="50">
          <cell r="B50">
            <v>2017051604</v>
          </cell>
        </row>
        <row r="51">
          <cell r="B51">
            <v>2017051602</v>
          </cell>
        </row>
        <row r="52">
          <cell r="B52">
            <v>2017062903</v>
          </cell>
        </row>
        <row r="53">
          <cell r="B53">
            <v>2017062919</v>
          </cell>
        </row>
        <row r="54">
          <cell r="B54">
            <v>2017051601</v>
          </cell>
        </row>
        <row r="55">
          <cell r="B55">
            <v>2017051809</v>
          </cell>
        </row>
        <row r="56">
          <cell r="B56">
            <v>2017051603</v>
          </cell>
        </row>
        <row r="57">
          <cell r="B57">
            <v>2017052203</v>
          </cell>
        </row>
        <row r="58">
          <cell r="B58">
            <v>2017051529</v>
          </cell>
        </row>
        <row r="59">
          <cell r="B59">
            <v>2017040301</v>
          </cell>
        </row>
        <row r="60">
          <cell r="B60">
            <v>2017040405</v>
          </cell>
        </row>
        <row r="61">
          <cell r="B61">
            <v>2017041005</v>
          </cell>
        </row>
        <row r="62">
          <cell r="B62">
            <v>2017041001</v>
          </cell>
        </row>
        <row r="63">
          <cell r="B63">
            <v>2017071010</v>
          </cell>
        </row>
        <row r="64">
          <cell r="B64">
            <v>2017051808</v>
          </cell>
        </row>
        <row r="65">
          <cell r="B65">
            <v>2017033007</v>
          </cell>
        </row>
        <row r="66">
          <cell r="B66">
            <v>2017033006</v>
          </cell>
        </row>
        <row r="67">
          <cell r="B67">
            <v>2017033005</v>
          </cell>
        </row>
        <row r="68">
          <cell r="B68">
            <v>2017033004</v>
          </cell>
        </row>
        <row r="69">
          <cell r="B69">
            <v>2017033003</v>
          </cell>
        </row>
        <row r="70">
          <cell r="B70">
            <v>2017033002</v>
          </cell>
        </row>
        <row r="71">
          <cell r="B71">
            <v>2017033001</v>
          </cell>
        </row>
        <row r="72">
          <cell r="B72">
            <v>2017032701</v>
          </cell>
        </row>
        <row r="73">
          <cell r="B73">
            <v>2017032504</v>
          </cell>
        </row>
        <row r="74">
          <cell r="B74">
            <v>2017032503</v>
          </cell>
        </row>
        <row r="75">
          <cell r="B75">
            <v>2017032502</v>
          </cell>
        </row>
        <row r="76">
          <cell r="B76">
            <v>2017032501</v>
          </cell>
        </row>
        <row r="77">
          <cell r="B77">
            <v>2017032403</v>
          </cell>
        </row>
        <row r="78">
          <cell r="B78">
            <v>2017032302</v>
          </cell>
        </row>
        <row r="79">
          <cell r="B79">
            <v>2017032301</v>
          </cell>
        </row>
        <row r="80">
          <cell r="B80">
            <v>2017032206</v>
          </cell>
        </row>
        <row r="81">
          <cell r="B81">
            <v>2017032204</v>
          </cell>
        </row>
        <row r="82">
          <cell r="B82">
            <v>2017032203</v>
          </cell>
        </row>
        <row r="83">
          <cell r="B83">
            <v>2017032102</v>
          </cell>
        </row>
        <row r="84">
          <cell r="B84">
            <v>2017032006</v>
          </cell>
        </row>
        <row r="85">
          <cell r="B85">
            <v>2017032005</v>
          </cell>
        </row>
        <row r="86">
          <cell r="B86">
            <v>2017032004</v>
          </cell>
        </row>
        <row r="87">
          <cell r="B87">
            <v>2017032003</v>
          </cell>
        </row>
        <row r="88">
          <cell r="B88">
            <v>2017031802</v>
          </cell>
        </row>
        <row r="89">
          <cell r="B89">
            <v>2017031801</v>
          </cell>
        </row>
        <row r="90">
          <cell r="B90">
            <v>2017031603</v>
          </cell>
        </row>
        <row r="91">
          <cell r="B91">
            <v>2017031602</v>
          </cell>
        </row>
        <row r="92">
          <cell r="B92">
            <v>2017031504</v>
          </cell>
        </row>
        <row r="93">
          <cell r="B93">
            <v>2017031503</v>
          </cell>
        </row>
        <row r="94">
          <cell r="B94">
            <v>2017031502</v>
          </cell>
        </row>
        <row r="95">
          <cell r="B95">
            <v>2017031501</v>
          </cell>
        </row>
        <row r="96">
          <cell r="B96">
            <v>2017031433</v>
          </cell>
        </row>
        <row r="97">
          <cell r="B97">
            <v>2017031432</v>
          </cell>
        </row>
        <row r="98">
          <cell r="B98">
            <v>2017031431</v>
          </cell>
        </row>
        <row r="99">
          <cell r="B99">
            <v>2017031429</v>
          </cell>
        </row>
        <row r="100">
          <cell r="B100">
            <v>2017031428</v>
          </cell>
        </row>
        <row r="101">
          <cell r="B101">
            <v>2017031427</v>
          </cell>
        </row>
        <row r="102">
          <cell r="B102">
            <v>2017031426</v>
          </cell>
        </row>
        <row r="103">
          <cell r="B103">
            <v>2017031425</v>
          </cell>
        </row>
        <row r="104">
          <cell r="B104">
            <v>2017031424</v>
          </cell>
        </row>
        <row r="105">
          <cell r="B105">
            <v>2017031423</v>
          </cell>
        </row>
        <row r="106">
          <cell r="B106">
            <v>2017031422</v>
          </cell>
        </row>
        <row r="107">
          <cell r="B107">
            <v>2017031421</v>
          </cell>
        </row>
        <row r="108">
          <cell r="B108">
            <v>2017031420</v>
          </cell>
        </row>
        <row r="109">
          <cell r="B109">
            <v>2017031419</v>
          </cell>
        </row>
        <row r="110">
          <cell r="B110">
            <v>2017031418</v>
          </cell>
        </row>
        <row r="111">
          <cell r="B111">
            <v>2017031417</v>
          </cell>
        </row>
        <row r="112">
          <cell r="B112">
            <v>2017031416</v>
          </cell>
        </row>
        <row r="113">
          <cell r="B113">
            <v>2017031414</v>
          </cell>
        </row>
        <row r="114">
          <cell r="B114">
            <v>2017031413</v>
          </cell>
        </row>
        <row r="115">
          <cell r="B115">
            <v>2017031411</v>
          </cell>
        </row>
        <row r="116">
          <cell r="B116">
            <v>2017031410</v>
          </cell>
        </row>
        <row r="117">
          <cell r="B117">
            <v>2017031409</v>
          </cell>
        </row>
        <row r="118">
          <cell r="B118">
            <v>2017031408</v>
          </cell>
        </row>
        <row r="119">
          <cell r="B119">
            <v>2017031407</v>
          </cell>
        </row>
        <row r="120">
          <cell r="B120">
            <v>2017031404</v>
          </cell>
        </row>
        <row r="121">
          <cell r="B121">
            <v>2017031306</v>
          </cell>
        </row>
        <row r="122">
          <cell r="B122">
            <v>2017031305</v>
          </cell>
        </row>
        <row r="123">
          <cell r="B123">
            <v>2017031304</v>
          </cell>
        </row>
        <row r="124">
          <cell r="B124">
            <v>2017031104</v>
          </cell>
        </row>
        <row r="125">
          <cell r="B125">
            <v>2017031101</v>
          </cell>
        </row>
        <row r="126">
          <cell r="B126">
            <v>2017031001</v>
          </cell>
        </row>
        <row r="127">
          <cell r="B127">
            <v>2017030908</v>
          </cell>
        </row>
        <row r="128">
          <cell r="B128">
            <v>2017030906</v>
          </cell>
        </row>
        <row r="129">
          <cell r="B129">
            <v>2017030905</v>
          </cell>
        </row>
        <row r="130">
          <cell r="B130">
            <v>2017030805</v>
          </cell>
        </row>
        <row r="131">
          <cell r="B131">
            <v>2017030803</v>
          </cell>
        </row>
        <row r="132">
          <cell r="B132">
            <v>2017030802</v>
          </cell>
        </row>
        <row r="133">
          <cell r="B133">
            <v>2017030710</v>
          </cell>
        </row>
        <row r="134">
          <cell r="B134">
            <v>2017030709</v>
          </cell>
        </row>
        <row r="135">
          <cell r="B135">
            <v>2017030706</v>
          </cell>
        </row>
        <row r="136">
          <cell r="B136">
            <v>2017030701</v>
          </cell>
        </row>
        <row r="137">
          <cell r="B137">
            <v>2017030613</v>
          </cell>
        </row>
        <row r="138">
          <cell r="B138">
            <v>2017030612</v>
          </cell>
        </row>
        <row r="139">
          <cell r="B139">
            <v>2017030611</v>
          </cell>
        </row>
        <row r="140">
          <cell r="B140">
            <v>2017030609</v>
          </cell>
        </row>
        <row r="141">
          <cell r="B141">
            <v>2017030608</v>
          </cell>
        </row>
        <row r="142">
          <cell r="B142">
            <v>2017030607</v>
          </cell>
        </row>
        <row r="143">
          <cell r="B143">
            <v>2017030603</v>
          </cell>
        </row>
        <row r="144">
          <cell r="B144">
            <v>2017030404</v>
          </cell>
        </row>
        <row r="145">
          <cell r="B145">
            <v>2017030403</v>
          </cell>
        </row>
        <row r="146">
          <cell r="B146">
            <v>2017030401</v>
          </cell>
        </row>
        <row r="147">
          <cell r="B147">
            <v>2017030306</v>
          </cell>
        </row>
        <row r="148">
          <cell r="B148">
            <v>2017030305</v>
          </cell>
        </row>
        <row r="149">
          <cell r="B149">
            <v>2017030302</v>
          </cell>
        </row>
        <row r="150">
          <cell r="B150">
            <v>2017030301</v>
          </cell>
        </row>
        <row r="151">
          <cell r="B151">
            <v>2017030208</v>
          </cell>
        </row>
        <row r="152">
          <cell r="B152">
            <v>2017030207</v>
          </cell>
        </row>
        <row r="153">
          <cell r="B153">
            <v>2017030206</v>
          </cell>
        </row>
        <row r="154">
          <cell r="B154">
            <v>2017030205</v>
          </cell>
        </row>
        <row r="155">
          <cell r="B155">
            <v>2017030204</v>
          </cell>
        </row>
        <row r="156">
          <cell r="B156">
            <v>2017030203</v>
          </cell>
        </row>
        <row r="157">
          <cell r="B157">
            <v>2017030116</v>
          </cell>
        </row>
        <row r="158">
          <cell r="B158">
            <v>2017030112</v>
          </cell>
        </row>
        <row r="159">
          <cell r="B159">
            <v>2017030108</v>
          </cell>
        </row>
        <row r="160">
          <cell r="B160">
            <v>2017030107</v>
          </cell>
        </row>
        <row r="161">
          <cell r="B161">
            <v>2017022804</v>
          </cell>
        </row>
        <row r="162">
          <cell r="B162">
            <v>2017022303</v>
          </cell>
        </row>
        <row r="163">
          <cell r="B163">
            <v>2017022206</v>
          </cell>
        </row>
        <row r="164">
          <cell r="B164">
            <v>2017022205</v>
          </cell>
        </row>
        <row r="165">
          <cell r="B165">
            <v>2017022111</v>
          </cell>
        </row>
        <row r="166">
          <cell r="B166">
            <v>2017022110</v>
          </cell>
        </row>
        <row r="167">
          <cell r="B167">
            <v>2017022109</v>
          </cell>
        </row>
        <row r="168">
          <cell r="B168">
            <v>2017022107</v>
          </cell>
        </row>
        <row r="169">
          <cell r="B169">
            <v>2017022105</v>
          </cell>
        </row>
        <row r="170">
          <cell r="B170">
            <v>2017022104</v>
          </cell>
        </row>
        <row r="171">
          <cell r="B171">
            <v>2017022103</v>
          </cell>
        </row>
        <row r="172">
          <cell r="B172">
            <v>2017022102</v>
          </cell>
        </row>
        <row r="173">
          <cell r="B173">
            <v>2017022032</v>
          </cell>
        </row>
        <row r="174">
          <cell r="B174">
            <v>2017022030</v>
          </cell>
        </row>
        <row r="175">
          <cell r="B175">
            <v>2017022006</v>
          </cell>
        </row>
        <row r="176">
          <cell r="B176">
            <v>2017022005</v>
          </cell>
        </row>
        <row r="177">
          <cell r="B177">
            <v>2017022003</v>
          </cell>
        </row>
        <row r="178">
          <cell r="B178">
            <v>2017021627</v>
          </cell>
        </row>
        <row r="179">
          <cell r="B179">
            <v>2017021626</v>
          </cell>
        </row>
        <row r="180">
          <cell r="B180">
            <v>2017021608</v>
          </cell>
        </row>
        <row r="181">
          <cell r="B181">
            <v>2017021607</v>
          </cell>
        </row>
        <row r="182">
          <cell r="B182">
            <v>2017021317</v>
          </cell>
        </row>
        <row r="183">
          <cell r="B183">
            <v>2017021309</v>
          </cell>
        </row>
        <row r="184">
          <cell r="B184">
            <v>2017020818</v>
          </cell>
        </row>
        <row r="185">
          <cell r="B185">
            <v>2017020805</v>
          </cell>
        </row>
        <row r="186">
          <cell r="B186">
            <v>2017020705</v>
          </cell>
        </row>
        <row r="187">
          <cell r="B187">
            <v>2017020702</v>
          </cell>
        </row>
        <row r="188">
          <cell r="B188">
            <v>2017020630</v>
          </cell>
        </row>
        <row r="189">
          <cell r="B189">
            <v>2017020629</v>
          </cell>
        </row>
        <row r="190">
          <cell r="B190">
            <v>2017020628</v>
          </cell>
        </row>
        <row r="191">
          <cell r="B191">
            <v>2017011902</v>
          </cell>
        </row>
        <row r="192">
          <cell r="B192">
            <v>2017011801</v>
          </cell>
        </row>
        <row r="193">
          <cell r="B193">
            <v>2017011101</v>
          </cell>
        </row>
        <row r="194">
          <cell r="B194">
            <v>2017010704</v>
          </cell>
        </row>
        <row r="195">
          <cell r="B195">
            <v>2017010603</v>
          </cell>
        </row>
        <row r="196">
          <cell r="B196">
            <v>2017010414</v>
          </cell>
        </row>
        <row r="197">
          <cell r="B197">
            <v>2017010403</v>
          </cell>
        </row>
        <row r="198">
          <cell r="B198">
            <v>2017010208</v>
          </cell>
        </row>
        <row r="199">
          <cell r="B199">
            <v>2017010207</v>
          </cell>
        </row>
        <row r="200">
          <cell r="B200">
            <v>2017010204</v>
          </cell>
        </row>
        <row r="201">
          <cell r="B201">
            <v>2017010203</v>
          </cell>
        </row>
        <row r="202">
          <cell r="B202">
            <v>2016122703</v>
          </cell>
        </row>
        <row r="203">
          <cell r="B203">
            <v>2016122702</v>
          </cell>
        </row>
        <row r="204">
          <cell r="B204">
            <v>2016122630</v>
          </cell>
        </row>
        <row r="205">
          <cell r="B205">
            <v>2016122628</v>
          </cell>
        </row>
        <row r="206">
          <cell r="B206">
            <v>2016122625</v>
          </cell>
        </row>
        <row r="207">
          <cell r="B207">
            <v>2016122624</v>
          </cell>
        </row>
        <row r="208">
          <cell r="B208">
            <v>2016122622</v>
          </cell>
        </row>
        <row r="209">
          <cell r="B209">
            <v>2016122621</v>
          </cell>
        </row>
        <row r="210">
          <cell r="B210">
            <v>2016122619</v>
          </cell>
        </row>
        <row r="211">
          <cell r="B211">
            <v>2016122616</v>
          </cell>
        </row>
        <row r="212">
          <cell r="B212">
            <v>2016122615</v>
          </cell>
        </row>
        <row r="213">
          <cell r="B213">
            <v>2016120608</v>
          </cell>
        </row>
        <row r="214">
          <cell r="B214">
            <v>2016120607</v>
          </cell>
        </row>
        <row r="215">
          <cell r="B215">
            <v>2016120606</v>
          </cell>
        </row>
        <row r="216">
          <cell r="B216">
            <v>2016120605</v>
          </cell>
        </row>
        <row r="217">
          <cell r="B217">
            <v>2016120604</v>
          </cell>
        </row>
        <row r="218">
          <cell r="B218">
            <v>2017032814</v>
          </cell>
        </row>
        <row r="219">
          <cell r="B219">
            <v>2017032813</v>
          </cell>
        </row>
        <row r="220">
          <cell r="B220">
            <v>2017032812</v>
          </cell>
        </row>
        <row r="221">
          <cell r="B221">
            <v>2017032811</v>
          </cell>
        </row>
        <row r="222">
          <cell r="B222">
            <v>2017032810</v>
          </cell>
        </row>
        <row r="223">
          <cell r="B223">
            <v>2017032809</v>
          </cell>
        </row>
        <row r="224">
          <cell r="B224">
            <v>2017032808</v>
          </cell>
        </row>
        <row r="225">
          <cell r="B225">
            <v>2017032807</v>
          </cell>
        </row>
        <row r="226">
          <cell r="B226">
            <v>2017032806</v>
          </cell>
        </row>
        <row r="227">
          <cell r="B227">
            <v>2017032805</v>
          </cell>
        </row>
        <row r="228">
          <cell r="B228">
            <v>2017032804</v>
          </cell>
        </row>
        <row r="229">
          <cell r="B229">
            <v>2017032803</v>
          </cell>
        </row>
        <row r="230">
          <cell r="B230">
            <v>2017032402</v>
          </cell>
        </row>
        <row r="231">
          <cell r="B231">
            <v>2017010213</v>
          </cell>
        </row>
        <row r="232">
          <cell r="B232">
            <v>2017010212</v>
          </cell>
        </row>
        <row r="233">
          <cell r="B233">
            <v>2017010211</v>
          </cell>
        </row>
        <row r="234">
          <cell r="B234">
            <v>2017010210</v>
          </cell>
        </row>
        <row r="235">
          <cell r="B235">
            <v>2016110108</v>
          </cell>
        </row>
        <row r="236">
          <cell r="B236">
            <v>2016110106</v>
          </cell>
        </row>
        <row r="237">
          <cell r="B237">
            <v>2016110105</v>
          </cell>
        </row>
        <row r="238">
          <cell r="B238">
            <v>2016110104</v>
          </cell>
        </row>
        <row r="239">
          <cell r="B239">
            <v>2016100103</v>
          </cell>
        </row>
        <row r="240">
          <cell r="B240">
            <v>2017082101</v>
          </cell>
        </row>
        <row r="241">
          <cell r="B241">
            <v>2017101002</v>
          </cell>
        </row>
        <row r="242">
          <cell r="B242">
            <v>2017110231</v>
          </cell>
        </row>
        <row r="243">
          <cell r="B243">
            <v>2017071312</v>
          </cell>
        </row>
        <row r="244">
          <cell r="B244">
            <v>2017082903</v>
          </cell>
        </row>
        <row r="245">
          <cell r="B245">
            <v>2017112010</v>
          </cell>
        </row>
        <row r="246">
          <cell r="B246">
            <v>2017101103</v>
          </cell>
        </row>
        <row r="247">
          <cell r="B247">
            <v>2017082505</v>
          </cell>
        </row>
        <row r="248">
          <cell r="B248">
            <v>2017080206</v>
          </cell>
        </row>
        <row r="249">
          <cell r="B249">
            <v>2017082208</v>
          </cell>
        </row>
        <row r="250">
          <cell r="B250">
            <v>2017082405</v>
          </cell>
        </row>
        <row r="251">
          <cell r="B251">
            <v>2017110205</v>
          </cell>
        </row>
        <row r="252">
          <cell r="B252">
            <v>2017073111</v>
          </cell>
        </row>
        <row r="253">
          <cell r="B253">
            <v>2017082411</v>
          </cell>
        </row>
        <row r="254">
          <cell r="B254">
            <v>2017082118</v>
          </cell>
        </row>
        <row r="255">
          <cell r="B255">
            <v>2018082501</v>
          </cell>
        </row>
        <row r="256">
          <cell r="B256">
            <v>2017082401</v>
          </cell>
        </row>
        <row r="257">
          <cell r="B257">
            <v>2017082206</v>
          </cell>
        </row>
        <row r="258">
          <cell r="B258">
            <v>2017082403</v>
          </cell>
        </row>
        <row r="259">
          <cell r="B259">
            <v>2017082303</v>
          </cell>
        </row>
        <row r="260">
          <cell r="B260">
            <v>2017082214</v>
          </cell>
        </row>
        <row r="261">
          <cell r="B261">
            <v>2017082204</v>
          </cell>
        </row>
        <row r="262">
          <cell r="B262">
            <v>2017082209</v>
          </cell>
        </row>
        <row r="263">
          <cell r="B263">
            <v>2017082213</v>
          </cell>
        </row>
        <row r="264">
          <cell r="B264">
            <v>2017101001</v>
          </cell>
        </row>
        <row r="265">
          <cell r="B265">
            <v>2017051602</v>
          </cell>
        </row>
        <row r="266">
          <cell r="B266">
            <v>2017110232</v>
          </cell>
        </row>
        <row r="267">
          <cell r="B267">
            <v>2017100508</v>
          </cell>
        </row>
        <row r="268">
          <cell r="B268">
            <v>2017082502</v>
          </cell>
        </row>
        <row r="269">
          <cell r="B269">
            <v>2017100510</v>
          </cell>
        </row>
        <row r="270">
          <cell r="B270">
            <v>2017082504</v>
          </cell>
        </row>
        <row r="271">
          <cell r="B271">
            <v>2017082211</v>
          </cell>
        </row>
        <row r="272">
          <cell r="B272">
            <v>2017081805</v>
          </cell>
        </row>
        <row r="273">
          <cell r="B273">
            <v>2017082105</v>
          </cell>
        </row>
        <row r="274">
          <cell r="B274">
            <v>2017073103</v>
          </cell>
        </row>
        <row r="275">
          <cell r="B275">
            <v>2017082205</v>
          </cell>
        </row>
        <row r="276">
          <cell r="B276">
            <v>2017082404</v>
          </cell>
        </row>
        <row r="277">
          <cell r="B277">
            <v>2017082306</v>
          </cell>
        </row>
        <row r="278">
          <cell r="B278">
            <v>2017082111</v>
          </cell>
        </row>
        <row r="279">
          <cell r="B279">
            <v>2017092805</v>
          </cell>
        </row>
        <row r="280">
          <cell r="B280">
            <v>2017100104</v>
          </cell>
        </row>
        <row r="281">
          <cell r="B281">
            <v>2017082501</v>
          </cell>
        </row>
        <row r="282">
          <cell r="B282">
            <v>2018030103</v>
          </cell>
        </row>
        <row r="283">
          <cell r="B283">
            <v>2017030112</v>
          </cell>
        </row>
        <row r="284">
          <cell r="B284">
            <v>2017100509</v>
          </cell>
        </row>
        <row r="285">
          <cell r="B285">
            <v>2018030610</v>
          </cell>
        </row>
        <row r="286">
          <cell r="B286">
            <v>2018030904</v>
          </cell>
        </row>
        <row r="287">
          <cell r="B287">
            <v>2018010405</v>
          </cell>
        </row>
        <row r="288">
          <cell r="B288">
            <v>2018030112</v>
          </cell>
        </row>
        <row r="289">
          <cell r="B289">
            <v>2017081804</v>
          </cell>
        </row>
        <row r="290">
          <cell r="B290">
            <v>2017081804</v>
          </cell>
        </row>
        <row r="291">
          <cell r="B291">
            <v>2018040302</v>
          </cell>
        </row>
        <row r="292">
          <cell r="B292">
            <v>2017082505</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row r="314">
          <cell r="B314">
            <v>0</v>
          </cell>
        </row>
        <row r="315">
          <cell r="B315">
            <v>0</v>
          </cell>
        </row>
        <row r="316">
          <cell r="B316">
            <v>0</v>
          </cell>
        </row>
        <row r="317">
          <cell r="B317">
            <v>0</v>
          </cell>
        </row>
        <row r="318">
          <cell r="B318">
            <v>0</v>
          </cell>
        </row>
        <row r="319">
          <cell r="B319">
            <v>0</v>
          </cell>
        </row>
        <row r="320">
          <cell r="B320">
            <v>0</v>
          </cell>
        </row>
        <row r="321">
          <cell r="B321">
            <v>0</v>
          </cell>
        </row>
        <row r="322">
          <cell r="B322">
            <v>0</v>
          </cell>
        </row>
        <row r="323">
          <cell r="B323">
            <v>0</v>
          </cell>
        </row>
        <row r="324">
          <cell r="B324">
            <v>0</v>
          </cell>
        </row>
        <row r="325">
          <cell r="B325">
            <v>0</v>
          </cell>
        </row>
        <row r="326">
          <cell r="B326">
            <v>0</v>
          </cell>
        </row>
        <row r="327">
          <cell r="B327">
            <v>0</v>
          </cell>
        </row>
        <row r="328">
          <cell r="B328">
            <v>0</v>
          </cell>
        </row>
        <row r="329">
          <cell r="B329">
            <v>0</v>
          </cell>
        </row>
        <row r="330">
          <cell r="B330">
            <v>0</v>
          </cell>
        </row>
        <row r="331">
          <cell r="B331">
            <v>0</v>
          </cell>
        </row>
        <row r="332">
          <cell r="B332">
            <v>0</v>
          </cell>
        </row>
        <row r="333">
          <cell r="B333">
            <v>0</v>
          </cell>
        </row>
        <row r="334">
          <cell r="B334">
            <v>0</v>
          </cell>
        </row>
        <row r="335">
          <cell r="B335">
            <v>0</v>
          </cell>
        </row>
        <row r="336">
          <cell r="B336">
            <v>0</v>
          </cell>
        </row>
        <row r="337">
          <cell r="B337">
            <v>0</v>
          </cell>
        </row>
        <row r="338">
          <cell r="B338">
            <v>0</v>
          </cell>
        </row>
        <row r="339">
          <cell r="B339">
            <v>0</v>
          </cell>
        </row>
        <row r="340">
          <cell r="B340">
            <v>0</v>
          </cell>
        </row>
        <row r="341">
          <cell r="B341">
            <v>0</v>
          </cell>
        </row>
        <row r="342">
          <cell r="B342">
            <v>0</v>
          </cell>
        </row>
        <row r="343">
          <cell r="B343">
            <v>0</v>
          </cell>
        </row>
        <row r="344">
          <cell r="B344">
            <v>0</v>
          </cell>
        </row>
        <row r="345">
          <cell r="B345">
            <v>0</v>
          </cell>
        </row>
        <row r="346">
          <cell r="B346">
            <v>0</v>
          </cell>
        </row>
        <row r="347">
          <cell r="B347">
            <v>0</v>
          </cell>
        </row>
        <row r="348">
          <cell r="B348">
            <v>0</v>
          </cell>
        </row>
        <row r="349">
          <cell r="B349">
            <v>0</v>
          </cell>
        </row>
        <row r="350">
          <cell r="B350">
            <v>0</v>
          </cell>
        </row>
        <row r="351">
          <cell r="B351">
            <v>0</v>
          </cell>
        </row>
        <row r="352">
          <cell r="B352">
            <v>0</v>
          </cell>
        </row>
        <row r="353">
          <cell r="B353">
            <v>0</v>
          </cell>
        </row>
        <row r="354">
          <cell r="B354">
            <v>0</v>
          </cell>
        </row>
        <row r="355">
          <cell r="B355">
            <v>0</v>
          </cell>
        </row>
        <row r="356">
          <cell r="B356">
            <v>0</v>
          </cell>
        </row>
        <row r="357">
          <cell r="B357">
            <v>0</v>
          </cell>
        </row>
        <row r="358">
          <cell r="B358">
            <v>0</v>
          </cell>
        </row>
        <row r="359">
          <cell r="B359">
            <v>0</v>
          </cell>
        </row>
        <row r="360">
          <cell r="B360">
            <v>0</v>
          </cell>
        </row>
        <row r="361">
          <cell r="B361">
            <v>0</v>
          </cell>
        </row>
        <row r="362">
          <cell r="B362">
            <v>0</v>
          </cell>
        </row>
        <row r="363">
          <cell r="B363">
            <v>0</v>
          </cell>
        </row>
        <row r="364">
          <cell r="B364">
            <v>0</v>
          </cell>
        </row>
        <row r="365">
          <cell r="B365">
            <v>0</v>
          </cell>
        </row>
        <row r="366">
          <cell r="B366">
            <v>0</v>
          </cell>
        </row>
        <row r="367">
          <cell r="B367">
            <v>0</v>
          </cell>
        </row>
        <row r="368">
          <cell r="B368">
            <v>0</v>
          </cell>
        </row>
        <row r="369">
          <cell r="B369">
            <v>0</v>
          </cell>
        </row>
        <row r="370">
          <cell r="B370">
            <v>0</v>
          </cell>
        </row>
        <row r="371">
          <cell r="B371">
            <v>0</v>
          </cell>
        </row>
        <row r="372">
          <cell r="B372">
            <v>0</v>
          </cell>
        </row>
        <row r="373">
          <cell r="B373">
            <v>0</v>
          </cell>
        </row>
        <row r="374">
          <cell r="B374">
            <v>0</v>
          </cell>
        </row>
        <row r="375">
          <cell r="B375">
            <v>0</v>
          </cell>
        </row>
        <row r="376">
          <cell r="B376">
            <v>0</v>
          </cell>
        </row>
        <row r="377">
          <cell r="B377">
            <v>0</v>
          </cell>
        </row>
        <row r="378">
          <cell r="B378">
            <v>0</v>
          </cell>
        </row>
        <row r="379">
          <cell r="B379">
            <v>0</v>
          </cell>
        </row>
        <row r="380">
          <cell r="B380">
            <v>0</v>
          </cell>
        </row>
        <row r="381">
          <cell r="B381">
            <v>0</v>
          </cell>
        </row>
        <row r="382">
          <cell r="B382">
            <v>0</v>
          </cell>
        </row>
        <row r="383">
          <cell r="B383">
            <v>0</v>
          </cell>
        </row>
        <row r="384">
          <cell r="B384">
            <v>0</v>
          </cell>
        </row>
        <row r="385">
          <cell r="B385">
            <v>0</v>
          </cell>
        </row>
        <row r="386">
          <cell r="B386">
            <v>0</v>
          </cell>
        </row>
        <row r="387">
          <cell r="B387">
            <v>0</v>
          </cell>
        </row>
        <row r="388">
          <cell r="B388">
            <v>0</v>
          </cell>
        </row>
        <row r="389">
          <cell r="B389">
            <v>0</v>
          </cell>
        </row>
        <row r="390">
          <cell r="B390">
            <v>0</v>
          </cell>
        </row>
        <row r="391">
          <cell r="B391">
            <v>0</v>
          </cell>
        </row>
        <row r="392">
          <cell r="B392">
            <v>0</v>
          </cell>
        </row>
        <row r="393">
          <cell r="B393">
            <v>0</v>
          </cell>
        </row>
        <row r="394">
          <cell r="B394">
            <v>0</v>
          </cell>
        </row>
        <row r="395">
          <cell r="B395">
            <v>0</v>
          </cell>
        </row>
        <row r="396">
          <cell r="B396">
            <v>0</v>
          </cell>
        </row>
        <row r="397">
          <cell r="B397">
            <v>0</v>
          </cell>
        </row>
        <row r="398">
          <cell r="B398">
            <v>0</v>
          </cell>
        </row>
        <row r="399">
          <cell r="B399">
            <v>0</v>
          </cell>
        </row>
        <row r="400">
          <cell r="B400">
            <v>0</v>
          </cell>
        </row>
        <row r="401">
          <cell r="B401">
            <v>0</v>
          </cell>
        </row>
        <row r="402">
          <cell r="B402">
            <v>0</v>
          </cell>
        </row>
        <row r="403">
          <cell r="B403">
            <v>0</v>
          </cell>
        </row>
        <row r="404">
          <cell r="B404">
            <v>0</v>
          </cell>
        </row>
        <row r="405">
          <cell r="B405">
            <v>0</v>
          </cell>
        </row>
        <row r="406">
          <cell r="B406">
            <v>0</v>
          </cell>
        </row>
        <row r="407">
          <cell r="B407">
            <v>0</v>
          </cell>
        </row>
        <row r="408">
          <cell r="B408">
            <v>0</v>
          </cell>
        </row>
        <row r="409">
          <cell r="B409">
            <v>0</v>
          </cell>
        </row>
        <row r="410">
          <cell r="B410">
            <v>0</v>
          </cell>
        </row>
        <row r="411">
          <cell r="B411">
            <v>0</v>
          </cell>
        </row>
        <row r="412">
          <cell r="B412">
            <v>0</v>
          </cell>
        </row>
        <row r="413">
          <cell r="B413">
            <v>0</v>
          </cell>
        </row>
        <row r="414">
          <cell r="B414">
            <v>0</v>
          </cell>
        </row>
        <row r="415">
          <cell r="B415">
            <v>0</v>
          </cell>
        </row>
        <row r="416">
          <cell r="B416">
            <v>0</v>
          </cell>
        </row>
        <row r="417">
          <cell r="B417">
            <v>0</v>
          </cell>
        </row>
        <row r="418">
          <cell r="B418">
            <v>0</v>
          </cell>
        </row>
        <row r="419">
          <cell r="B419">
            <v>0</v>
          </cell>
        </row>
        <row r="420">
          <cell r="B420">
            <v>0</v>
          </cell>
        </row>
        <row r="421">
          <cell r="B421">
            <v>0</v>
          </cell>
        </row>
        <row r="422">
          <cell r="B422">
            <v>0</v>
          </cell>
        </row>
        <row r="423">
          <cell r="B423">
            <v>0</v>
          </cell>
        </row>
        <row r="424">
          <cell r="B424">
            <v>0</v>
          </cell>
        </row>
        <row r="425">
          <cell r="B425">
            <v>0</v>
          </cell>
        </row>
        <row r="426">
          <cell r="B426">
            <v>0</v>
          </cell>
        </row>
        <row r="427">
          <cell r="B427">
            <v>0</v>
          </cell>
        </row>
        <row r="428">
          <cell r="B428">
            <v>0</v>
          </cell>
        </row>
        <row r="429">
          <cell r="B429">
            <v>0</v>
          </cell>
        </row>
        <row r="430">
          <cell r="B430">
            <v>0</v>
          </cell>
        </row>
        <row r="431">
          <cell r="B431">
            <v>0</v>
          </cell>
        </row>
        <row r="432">
          <cell r="B432">
            <v>0</v>
          </cell>
        </row>
        <row r="433">
          <cell r="B433">
            <v>0</v>
          </cell>
        </row>
        <row r="434">
          <cell r="B434">
            <v>0</v>
          </cell>
        </row>
        <row r="435">
          <cell r="B435">
            <v>0</v>
          </cell>
        </row>
        <row r="436">
          <cell r="B436">
            <v>0</v>
          </cell>
        </row>
        <row r="437">
          <cell r="B437">
            <v>0</v>
          </cell>
        </row>
        <row r="438">
          <cell r="B438">
            <v>0</v>
          </cell>
        </row>
        <row r="439">
          <cell r="B439">
            <v>0</v>
          </cell>
        </row>
        <row r="440">
          <cell r="B440">
            <v>0</v>
          </cell>
        </row>
        <row r="441">
          <cell r="B441">
            <v>0</v>
          </cell>
        </row>
        <row r="442">
          <cell r="B442">
            <v>0</v>
          </cell>
        </row>
        <row r="443">
          <cell r="B443">
            <v>0</v>
          </cell>
        </row>
        <row r="444">
          <cell r="B444">
            <v>0</v>
          </cell>
        </row>
        <row r="445">
          <cell r="B445">
            <v>0</v>
          </cell>
        </row>
        <row r="446">
          <cell r="B446">
            <v>0</v>
          </cell>
        </row>
        <row r="447">
          <cell r="B447">
            <v>0</v>
          </cell>
        </row>
        <row r="448">
          <cell r="B448">
            <v>0</v>
          </cell>
        </row>
        <row r="449">
          <cell r="B449">
            <v>0</v>
          </cell>
        </row>
        <row r="450">
          <cell r="B450">
            <v>0</v>
          </cell>
        </row>
        <row r="451">
          <cell r="B451">
            <v>0</v>
          </cell>
        </row>
        <row r="452">
          <cell r="B452">
            <v>0</v>
          </cell>
        </row>
        <row r="453">
          <cell r="B453">
            <v>0</v>
          </cell>
        </row>
        <row r="454">
          <cell r="B454">
            <v>0</v>
          </cell>
        </row>
        <row r="455">
          <cell r="B455">
            <v>0</v>
          </cell>
        </row>
        <row r="456">
          <cell r="B456">
            <v>0</v>
          </cell>
        </row>
        <row r="457">
          <cell r="B457">
            <v>0</v>
          </cell>
        </row>
        <row r="458">
          <cell r="B458">
            <v>0</v>
          </cell>
        </row>
        <row r="459">
          <cell r="B459">
            <v>0</v>
          </cell>
        </row>
        <row r="460">
          <cell r="B460">
            <v>0</v>
          </cell>
        </row>
        <row r="461">
          <cell r="B461">
            <v>0</v>
          </cell>
        </row>
        <row r="462">
          <cell r="B462">
            <v>0</v>
          </cell>
        </row>
        <row r="463">
          <cell r="B463">
            <v>0</v>
          </cell>
        </row>
        <row r="464">
          <cell r="B464">
            <v>0</v>
          </cell>
        </row>
        <row r="465">
          <cell r="B465">
            <v>0</v>
          </cell>
        </row>
        <row r="466">
          <cell r="B466">
            <v>0</v>
          </cell>
        </row>
        <row r="467">
          <cell r="B467">
            <v>0</v>
          </cell>
        </row>
        <row r="468">
          <cell r="B468">
            <v>0</v>
          </cell>
        </row>
        <row r="469">
          <cell r="B469">
            <v>0</v>
          </cell>
        </row>
        <row r="470">
          <cell r="B470">
            <v>0</v>
          </cell>
        </row>
        <row r="471">
          <cell r="B471">
            <v>0</v>
          </cell>
        </row>
        <row r="472">
          <cell r="B472">
            <v>0</v>
          </cell>
        </row>
        <row r="473">
          <cell r="B473">
            <v>0</v>
          </cell>
        </row>
        <row r="474">
          <cell r="B474">
            <v>0</v>
          </cell>
        </row>
        <row r="475">
          <cell r="B475">
            <v>0</v>
          </cell>
        </row>
        <row r="476">
          <cell r="B476">
            <v>0</v>
          </cell>
        </row>
        <row r="477">
          <cell r="B477">
            <v>0</v>
          </cell>
        </row>
        <row r="478">
          <cell r="B478">
            <v>0</v>
          </cell>
        </row>
        <row r="479">
          <cell r="B479">
            <v>0</v>
          </cell>
        </row>
        <row r="480">
          <cell r="B480">
            <v>0</v>
          </cell>
        </row>
        <row r="481">
          <cell r="B481">
            <v>0</v>
          </cell>
        </row>
        <row r="482">
          <cell r="B482">
            <v>0</v>
          </cell>
        </row>
        <row r="483">
          <cell r="B483">
            <v>0</v>
          </cell>
        </row>
        <row r="484">
          <cell r="B484">
            <v>0</v>
          </cell>
        </row>
        <row r="485">
          <cell r="B485">
            <v>0</v>
          </cell>
        </row>
        <row r="486">
          <cell r="B486">
            <v>0</v>
          </cell>
        </row>
        <row r="487">
          <cell r="B487">
            <v>0</v>
          </cell>
        </row>
        <row r="488">
          <cell r="B488">
            <v>0</v>
          </cell>
        </row>
        <row r="489">
          <cell r="B489">
            <v>0</v>
          </cell>
        </row>
        <row r="490">
          <cell r="B490">
            <v>0</v>
          </cell>
        </row>
        <row r="491">
          <cell r="B491">
            <v>0</v>
          </cell>
        </row>
        <row r="492">
          <cell r="B492">
            <v>0</v>
          </cell>
        </row>
        <row r="493">
          <cell r="B493">
            <v>0</v>
          </cell>
        </row>
        <row r="494">
          <cell r="B494">
            <v>0</v>
          </cell>
        </row>
        <row r="495">
          <cell r="B495">
            <v>0</v>
          </cell>
        </row>
        <row r="496">
          <cell r="B496">
            <v>0</v>
          </cell>
        </row>
        <row r="497">
          <cell r="B497">
            <v>0</v>
          </cell>
        </row>
        <row r="498">
          <cell r="B498">
            <v>0</v>
          </cell>
        </row>
        <row r="499">
          <cell r="B499">
            <v>0</v>
          </cell>
        </row>
        <row r="500">
          <cell r="B500">
            <v>0</v>
          </cell>
        </row>
        <row r="501">
          <cell r="B501">
            <v>0</v>
          </cell>
        </row>
      </sheetData>
      <sheetData sheetId="1">
        <row r="2">
          <cell r="B2" t="str">
            <v>Names for a BUYER list</v>
          </cell>
          <cell r="D2" t="str">
            <v>Names for a MODEL list</v>
          </cell>
        </row>
        <row r="4">
          <cell r="B4" t="str">
            <v>BUYER</v>
          </cell>
          <cell r="D4" t="str">
            <v>MODEL</v>
          </cell>
        </row>
        <row r="5">
          <cell r="B5" t="str">
            <v>K2</v>
          </cell>
          <cell r="D5" t="str">
            <v>FITNESS</v>
          </cell>
        </row>
        <row r="6">
          <cell r="B6" t="str">
            <v>LS</v>
          </cell>
          <cell r="D6" t="str">
            <v>FORET</v>
          </cell>
        </row>
        <row r="7">
          <cell r="B7" t="str">
            <v>NORTHFACE</v>
          </cell>
          <cell r="D7" t="str">
            <v>TROOPER</v>
          </cell>
        </row>
        <row r="8">
          <cell r="B8" t="str">
            <v>NEPA</v>
          </cell>
          <cell r="D8" t="str">
            <v>COMFORT</v>
          </cell>
        </row>
        <row r="9">
          <cell r="B9" t="str">
            <v>BLACKYAK</v>
          </cell>
          <cell r="D9" t="str">
            <v>CROSS TR</v>
          </cell>
        </row>
        <row r="10">
          <cell r="B10" t="str">
            <v>MILLE</v>
          </cell>
          <cell r="D10" t="str">
            <v>GALAXY 3 W'S</v>
          </cell>
        </row>
        <row r="11">
          <cell r="B11" t="str">
            <v>LAFUMA</v>
          </cell>
          <cell r="D11" t="str">
            <v>INDOOR N9</v>
          </cell>
        </row>
        <row r="12">
          <cell r="B12" t="str">
            <v>EIDER</v>
          </cell>
          <cell r="D12" t="str">
            <v>ACTIVE</v>
          </cell>
        </row>
        <row r="13">
          <cell r="B13" t="str">
            <v>YOUNGIN</v>
          </cell>
          <cell r="D13" t="str">
            <v>INDOOR N10</v>
          </cell>
        </row>
        <row r="14">
          <cell r="B14" t="str">
            <v>STAFILD</v>
          </cell>
          <cell r="D14" t="str">
            <v>IMPULSE 211-213</v>
          </cell>
        </row>
        <row r="15">
          <cell r="B15" t="str">
            <v>HWASEUNG</v>
          </cell>
          <cell r="D15" t="str">
            <v>IMPULSE EX 111-113</v>
          </cell>
        </row>
        <row r="16">
          <cell r="B16" t="str">
            <v>PROSPECS</v>
          </cell>
          <cell r="D16" t="str">
            <v>K2-14</v>
          </cell>
        </row>
        <row r="17">
          <cell r="B17" t="str">
            <v>DISCOVERY</v>
          </cell>
          <cell r="D17" t="str">
            <v>STAFILD BOOTS</v>
          </cell>
        </row>
        <row r="18">
          <cell r="B18" t="str">
            <v>NEPA</v>
          </cell>
          <cell r="D18" t="str">
            <v>CROSS TR 601-602</v>
          </cell>
        </row>
        <row r="19">
          <cell r="B19">
            <v>0</v>
          </cell>
          <cell r="D19" t="str">
            <v>COMPASS</v>
          </cell>
        </row>
        <row r="20">
          <cell r="B20">
            <v>0</v>
          </cell>
          <cell r="D20" t="str">
            <v>FLEX MF 111-112</v>
          </cell>
        </row>
        <row r="21">
          <cell r="B21">
            <v>0</v>
          </cell>
          <cell r="D21" t="str">
            <v>INDOOR N10</v>
          </cell>
        </row>
        <row r="22">
          <cell r="B22">
            <v>0</v>
          </cell>
          <cell r="D22" t="str">
            <v>DIVER-K</v>
          </cell>
        </row>
        <row r="23">
          <cell r="B23">
            <v>0</v>
          </cell>
          <cell r="D23" t="str">
            <v>FELICE MINI</v>
          </cell>
        </row>
        <row r="24">
          <cell r="B24">
            <v>0</v>
          </cell>
          <cell r="D24">
            <v>0</v>
          </cell>
        </row>
        <row r="25">
          <cell r="D25">
            <v>0</v>
          </cell>
        </row>
        <row r="26">
          <cell r="D26">
            <v>0</v>
          </cell>
        </row>
        <row r="27">
          <cell r="D27">
            <v>0</v>
          </cell>
        </row>
        <row r="28">
          <cell r="D28">
            <v>0</v>
          </cell>
        </row>
        <row r="29">
          <cell r="D29">
            <v>0</v>
          </cell>
        </row>
        <row r="30">
          <cell r="D30">
            <v>0</v>
          </cell>
        </row>
        <row r="31">
          <cell r="D31">
            <v>0</v>
          </cell>
        </row>
        <row r="32">
          <cell r="D32">
            <v>0</v>
          </cell>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G193"/>
  <sheetViews>
    <sheetView topLeftCell="A3" zoomScale="110" zoomScaleNormal="110" zoomScaleSheetLayoutView="100" workbookViewId="0">
      <pane ySplit="2" topLeftCell="A35" activePane="bottomLeft" state="frozen"/>
      <selection activeCell="A3" sqref="A3"/>
      <selection pane="bottomLeft" activeCell="A42" sqref="A42"/>
    </sheetView>
  </sheetViews>
  <sheetFormatPr defaultColWidth="9" defaultRowHeight="17.25" customHeight="1"/>
  <cols>
    <col min="1" max="1" width="4.42578125" style="6" customWidth="1"/>
    <col min="2" max="2" width="12.42578125" style="7" customWidth="1"/>
    <col min="3" max="3" width="25" style="8" customWidth="1"/>
    <col min="4" max="4" width="12.42578125" style="9" customWidth="1"/>
    <col min="5" max="5" width="4.42578125" style="9" customWidth="1"/>
    <col min="6" max="7" width="4.42578125" style="10" customWidth="1"/>
    <col min="8" max="8" width="12.42578125" style="10" customWidth="1"/>
    <col min="9" max="9" width="9" style="6" customWidth="1"/>
    <col min="10" max="10" width="12.42578125" style="6" customWidth="1"/>
    <col min="11" max="11" width="9" style="6" customWidth="1"/>
    <col min="12" max="16384" width="9" style="4"/>
  </cols>
  <sheetData>
    <row r="1" spans="1:11" s="3" customFormat="1" ht="44.25" hidden="1" customHeight="1">
      <c r="A1" s="68" t="s">
        <v>0</v>
      </c>
      <c r="B1" s="68" t="s">
        <v>3</v>
      </c>
      <c r="C1" s="68" t="s">
        <v>119</v>
      </c>
      <c r="D1" s="68" t="s">
        <v>120</v>
      </c>
      <c r="E1" s="68"/>
      <c r="F1" s="68"/>
      <c r="G1" s="68"/>
      <c r="H1" s="68" t="s">
        <v>1</v>
      </c>
      <c r="I1" s="68"/>
      <c r="J1" s="68" t="s">
        <v>121</v>
      </c>
      <c r="K1" s="68"/>
    </row>
    <row r="2" spans="1:11" s="3" customFormat="1" ht="27" hidden="1" customHeight="1">
      <c r="A2" s="69"/>
      <c r="B2" s="69"/>
      <c r="C2" s="69"/>
      <c r="D2" s="69"/>
      <c r="E2" s="69"/>
      <c r="F2" s="69"/>
      <c r="G2" s="69"/>
      <c r="H2" s="69"/>
      <c r="I2" s="69"/>
      <c r="J2" s="69"/>
      <c r="K2" s="69"/>
    </row>
    <row r="3" spans="1:11" s="3" customFormat="1" ht="51" customHeight="1">
      <c r="A3" s="57" t="s">
        <v>122</v>
      </c>
      <c r="B3" s="57" t="s">
        <v>4</v>
      </c>
      <c r="C3" s="57" t="s">
        <v>123</v>
      </c>
      <c r="D3" s="50" t="s">
        <v>124</v>
      </c>
      <c r="E3" s="57" t="s">
        <v>125</v>
      </c>
      <c r="F3" s="57" t="s">
        <v>126</v>
      </c>
      <c r="G3" s="57" t="s">
        <v>2</v>
      </c>
      <c r="H3" s="57" t="s">
        <v>127</v>
      </c>
      <c r="I3" s="57" t="s">
        <v>128</v>
      </c>
      <c r="J3" s="57" t="s">
        <v>127</v>
      </c>
      <c r="K3" s="57" t="s">
        <v>128</v>
      </c>
    </row>
    <row r="4" spans="1:11" s="3" customFormat="1" ht="17.25" customHeight="1">
      <c r="A4" s="57" t="s">
        <v>129</v>
      </c>
      <c r="B4" s="57" t="s">
        <v>5</v>
      </c>
      <c r="C4" s="57" t="s">
        <v>130</v>
      </c>
      <c r="D4" s="50">
        <v>42745</v>
      </c>
      <c r="E4" s="57" t="s">
        <v>131</v>
      </c>
      <c r="F4" s="57" t="s">
        <v>132</v>
      </c>
      <c r="G4" s="57"/>
      <c r="H4" s="57" t="s">
        <v>133</v>
      </c>
      <c r="I4" s="57" t="s">
        <v>134</v>
      </c>
      <c r="J4" s="57" t="s">
        <v>133</v>
      </c>
      <c r="K4" s="57" t="s">
        <v>134</v>
      </c>
    </row>
    <row r="5" spans="1:11" ht="17.25" customHeight="1">
      <c r="A5" s="11">
        <v>1</v>
      </c>
      <c r="B5" s="16">
        <v>2017092605</v>
      </c>
      <c r="C5" s="58" t="s">
        <v>54</v>
      </c>
      <c r="D5" s="12" t="s">
        <v>55</v>
      </c>
      <c r="E5" s="13"/>
      <c r="F5" s="13"/>
      <c r="G5" s="13"/>
      <c r="H5" s="59"/>
      <c r="I5" s="14"/>
      <c r="J5" s="15"/>
      <c r="K5" s="15"/>
    </row>
    <row r="6" spans="1:11" ht="17.25" customHeight="1">
      <c r="A6" s="11">
        <v>2</v>
      </c>
      <c r="B6" s="16">
        <v>2017092704</v>
      </c>
      <c r="C6" s="58" t="s">
        <v>57</v>
      </c>
      <c r="D6" s="12" t="s">
        <v>56</v>
      </c>
      <c r="E6" s="13"/>
      <c r="F6" s="13"/>
      <c r="G6" s="13"/>
      <c r="H6" s="59"/>
      <c r="I6" s="14"/>
      <c r="J6" s="15"/>
      <c r="K6" s="15"/>
    </row>
    <row r="7" spans="1:11" ht="17.25" customHeight="1">
      <c r="A7" s="11">
        <v>3</v>
      </c>
      <c r="B7" s="16">
        <v>2017082501</v>
      </c>
      <c r="C7" s="58" t="s">
        <v>84</v>
      </c>
      <c r="D7" s="12" t="s">
        <v>93</v>
      </c>
      <c r="E7" s="13"/>
      <c r="F7" s="13"/>
      <c r="G7" s="13"/>
      <c r="H7" s="59"/>
      <c r="I7" s="14"/>
      <c r="J7" s="15"/>
      <c r="K7" s="15"/>
    </row>
    <row r="8" spans="1:11" ht="17.25" customHeight="1">
      <c r="A8" s="11">
        <v>4</v>
      </c>
      <c r="B8" s="16">
        <v>2017082502</v>
      </c>
      <c r="C8" s="58" t="s">
        <v>92</v>
      </c>
      <c r="D8" s="12" t="s">
        <v>93</v>
      </c>
      <c r="E8" s="13"/>
      <c r="F8" s="13"/>
      <c r="G8" s="13"/>
      <c r="H8" s="59"/>
      <c r="I8" s="14"/>
      <c r="J8" s="15"/>
      <c r="K8" s="15"/>
    </row>
    <row r="9" spans="1:11" ht="17.25" customHeight="1">
      <c r="A9" s="11">
        <v>5</v>
      </c>
      <c r="B9" s="16">
        <v>2017100215</v>
      </c>
      <c r="C9" s="58" t="s">
        <v>58</v>
      </c>
      <c r="D9" s="12">
        <v>42776</v>
      </c>
      <c r="E9" s="13"/>
      <c r="F9" s="13"/>
      <c r="G9" s="13"/>
      <c r="H9" s="59"/>
      <c r="I9" s="14"/>
      <c r="J9" s="15"/>
      <c r="K9" s="15"/>
    </row>
    <row r="10" spans="1:11" ht="17.25" customHeight="1">
      <c r="A10" s="11">
        <v>7</v>
      </c>
      <c r="B10" s="16">
        <v>2017101104</v>
      </c>
      <c r="C10" s="58" t="s">
        <v>59</v>
      </c>
      <c r="D10" s="12">
        <v>43049</v>
      </c>
      <c r="E10" s="13"/>
      <c r="F10" s="13"/>
      <c r="G10" s="13"/>
      <c r="H10" s="59"/>
      <c r="I10" s="14"/>
      <c r="J10" s="15"/>
      <c r="K10" s="15"/>
    </row>
    <row r="11" spans="1:11" ht="17.25" customHeight="1">
      <c r="A11" s="11">
        <v>8</v>
      </c>
      <c r="B11" s="16">
        <v>2018030803</v>
      </c>
      <c r="C11" s="58" t="s">
        <v>60</v>
      </c>
      <c r="D11" s="12">
        <v>43315</v>
      </c>
      <c r="E11" s="13"/>
      <c r="F11" s="13"/>
      <c r="G11" s="13"/>
      <c r="H11" s="59"/>
      <c r="I11" s="14"/>
      <c r="J11" s="15"/>
      <c r="K11" s="15"/>
    </row>
    <row r="12" spans="1:11" ht="17.25" customHeight="1">
      <c r="A12" s="11">
        <v>9</v>
      </c>
      <c r="B12" s="16">
        <v>2018031603</v>
      </c>
      <c r="C12" s="58" t="s">
        <v>61</v>
      </c>
      <c r="D12" s="12" t="s">
        <v>62</v>
      </c>
      <c r="E12" s="13"/>
      <c r="F12" s="13"/>
      <c r="G12" s="13"/>
      <c r="H12" s="59"/>
      <c r="I12" s="14"/>
      <c r="J12" s="15"/>
      <c r="K12" s="15"/>
    </row>
    <row r="13" spans="1:11" ht="17.25" customHeight="1">
      <c r="A13" s="11">
        <v>11</v>
      </c>
      <c r="B13" s="16">
        <v>2018031528</v>
      </c>
      <c r="C13" s="58" t="s">
        <v>63</v>
      </c>
      <c r="D13" s="12" t="s">
        <v>64</v>
      </c>
      <c r="E13" s="13"/>
      <c r="F13" s="13"/>
      <c r="G13" s="13"/>
      <c r="H13" s="59"/>
      <c r="I13" s="14"/>
      <c r="J13" s="15"/>
      <c r="K13" s="15"/>
    </row>
    <row r="14" spans="1:11" ht="17.25" customHeight="1">
      <c r="A14" s="11">
        <v>12</v>
      </c>
      <c r="B14" s="16">
        <v>2017030301</v>
      </c>
      <c r="C14" s="58" t="s">
        <v>85</v>
      </c>
      <c r="D14" s="12">
        <v>42797</v>
      </c>
      <c r="E14" s="13"/>
      <c r="F14" s="13"/>
      <c r="G14" s="13"/>
      <c r="H14" s="59"/>
      <c r="I14" s="14"/>
      <c r="J14" s="15"/>
      <c r="K14" s="15"/>
    </row>
    <row r="15" spans="1:11" ht="17.25" customHeight="1">
      <c r="A15" s="11">
        <v>13</v>
      </c>
      <c r="B15" s="16">
        <v>2017092903</v>
      </c>
      <c r="C15" s="58" t="s">
        <v>86</v>
      </c>
      <c r="D15" s="12" t="s">
        <v>87</v>
      </c>
      <c r="E15" s="13"/>
      <c r="F15" s="13"/>
      <c r="G15" s="13"/>
      <c r="H15" s="59"/>
      <c r="I15" s="14"/>
      <c r="J15" s="15"/>
      <c r="K15" s="15"/>
    </row>
    <row r="16" spans="1:11" ht="17.25" customHeight="1">
      <c r="A16" s="11">
        <v>14</v>
      </c>
      <c r="B16" s="16">
        <v>2017101610</v>
      </c>
      <c r="C16" s="58" t="s">
        <v>88</v>
      </c>
      <c r="D16" s="12" t="s">
        <v>89</v>
      </c>
      <c r="E16" s="13"/>
      <c r="F16" s="13"/>
      <c r="G16" s="13"/>
      <c r="H16" s="59"/>
      <c r="I16" s="14"/>
      <c r="J16" s="15"/>
      <c r="K16" s="15"/>
    </row>
    <row r="17" spans="1:11" ht="17.25" customHeight="1">
      <c r="A17" s="11">
        <v>15</v>
      </c>
      <c r="B17" s="16">
        <v>2017062909</v>
      </c>
      <c r="C17" s="58" t="s">
        <v>90</v>
      </c>
      <c r="D17" s="12" t="s">
        <v>91</v>
      </c>
      <c r="E17" s="13"/>
      <c r="F17" s="13"/>
      <c r="G17" s="13"/>
      <c r="H17" s="59"/>
      <c r="I17" s="14"/>
      <c r="J17" s="15"/>
      <c r="K17" s="15"/>
    </row>
    <row r="18" spans="1:11" ht="17.25" customHeight="1">
      <c r="A18" s="11">
        <v>16</v>
      </c>
      <c r="B18" s="16">
        <v>2018092403</v>
      </c>
      <c r="C18" s="58" t="s">
        <v>98</v>
      </c>
      <c r="D18" s="12" t="s">
        <v>99</v>
      </c>
      <c r="E18" s="13"/>
      <c r="F18" s="13"/>
      <c r="G18" s="13"/>
      <c r="H18" s="59"/>
      <c r="I18" s="14"/>
      <c r="J18" s="15"/>
      <c r="K18" s="15"/>
    </row>
    <row r="19" spans="1:11" ht="17.25" customHeight="1">
      <c r="A19" s="11">
        <v>17</v>
      </c>
      <c r="B19" s="16">
        <v>2017082504</v>
      </c>
      <c r="C19" s="58" t="s">
        <v>94</v>
      </c>
      <c r="D19" s="12" t="s">
        <v>93</v>
      </c>
      <c r="E19" s="13"/>
      <c r="F19" s="13"/>
      <c r="G19" s="13"/>
      <c r="H19" s="59"/>
      <c r="I19" s="14"/>
      <c r="J19" s="15"/>
      <c r="K19" s="15"/>
    </row>
    <row r="20" spans="1:11" ht="17.25" customHeight="1">
      <c r="A20" s="11">
        <v>18</v>
      </c>
      <c r="B20" s="16">
        <v>2018032808</v>
      </c>
      <c r="C20" s="58" t="s">
        <v>83</v>
      </c>
      <c r="D20" s="12" t="s">
        <v>95</v>
      </c>
      <c r="E20" s="13"/>
      <c r="F20" s="13"/>
      <c r="G20" s="13"/>
      <c r="H20" s="59"/>
      <c r="I20" s="14"/>
      <c r="J20" s="15"/>
      <c r="K20" s="15"/>
    </row>
    <row r="21" spans="1:11" ht="17.25" customHeight="1">
      <c r="A21" s="11">
        <v>19</v>
      </c>
      <c r="B21" s="16">
        <v>2018071703</v>
      </c>
      <c r="C21" s="58" t="s">
        <v>96</v>
      </c>
      <c r="D21" s="45" t="s">
        <v>97</v>
      </c>
      <c r="E21" s="13"/>
      <c r="F21" s="13"/>
      <c r="G21" s="13"/>
      <c r="H21" s="59"/>
      <c r="I21" s="14"/>
      <c r="J21" s="15"/>
      <c r="K21" s="15"/>
    </row>
    <row r="22" spans="1:11" ht="17.25" customHeight="1">
      <c r="A22" s="11">
        <v>21</v>
      </c>
      <c r="B22" s="16">
        <v>2019021509</v>
      </c>
      <c r="C22" s="58" t="s">
        <v>103</v>
      </c>
      <c r="D22" s="12" t="s">
        <v>104</v>
      </c>
      <c r="E22" s="13"/>
      <c r="F22" s="13"/>
      <c r="G22" s="13"/>
      <c r="H22" s="59"/>
      <c r="I22" s="14"/>
      <c r="J22" s="15"/>
      <c r="K22" s="15"/>
    </row>
    <row r="23" spans="1:11" ht="17.25" customHeight="1">
      <c r="A23" s="11">
        <v>22</v>
      </c>
      <c r="B23" s="16">
        <v>2019072510</v>
      </c>
      <c r="C23" s="58" t="s">
        <v>117</v>
      </c>
      <c r="D23" s="12"/>
      <c r="E23" s="13"/>
      <c r="F23" s="13"/>
      <c r="G23" s="13"/>
      <c r="H23" s="59"/>
      <c r="I23" s="14"/>
      <c r="J23" s="15"/>
      <c r="K23" s="15"/>
    </row>
    <row r="24" spans="1:11" ht="17.25" customHeight="1">
      <c r="A24" s="11">
        <v>23</v>
      </c>
      <c r="B24" s="16">
        <v>2019072910</v>
      </c>
      <c r="C24" s="58" t="s">
        <v>118</v>
      </c>
      <c r="D24" s="12"/>
      <c r="E24" s="13"/>
      <c r="F24" s="13"/>
      <c r="G24" s="13"/>
      <c r="H24" s="59"/>
      <c r="I24" s="14"/>
      <c r="J24" s="15"/>
      <c r="K24" s="15"/>
    </row>
    <row r="25" spans="1:11" ht="17.25" customHeight="1">
      <c r="A25" s="11">
        <v>25</v>
      </c>
      <c r="B25" s="16">
        <v>2019062704</v>
      </c>
      <c r="C25" s="58" t="s">
        <v>115</v>
      </c>
      <c r="D25" s="12"/>
      <c r="E25" s="13"/>
      <c r="F25" s="13"/>
      <c r="G25" s="13"/>
      <c r="H25" s="59"/>
      <c r="I25" s="14"/>
      <c r="J25" s="15"/>
      <c r="K25" s="15"/>
    </row>
    <row r="26" spans="1:11" ht="17.25" customHeight="1">
      <c r="A26" s="11">
        <v>26</v>
      </c>
      <c r="B26" s="16">
        <v>2019021907</v>
      </c>
      <c r="C26" s="58" t="s">
        <v>105</v>
      </c>
      <c r="D26" s="12" t="s">
        <v>106</v>
      </c>
      <c r="E26" s="13"/>
      <c r="F26" s="13"/>
      <c r="G26" s="13"/>
      <c r="H26" s="59"/>
      <c r="I26" s="14"/>
      <c r="J26" s="15"/>
      <c r="K26" s="15"/>
    </row>
    <row r="27" spans="1:11" ht="17.25" customHeight="1">
      <c r="A27" s="11">
        <v>27</v>
      </c>
      <c r="B27" s="16">
        <v>2019021904</v>
      </c>
      <c r="C27" s="58" t="s">
        <v>107</v>
      </c>
      <c r="D27" s="12" t="s">
        <v>106</v>
      </c>
      <c r="E27" s="13"/>
      <c r="F27" s="13"/>
      <c r="G27" s="13"/>
      <c r="H27" s="59"/>
      <c r="I27" s="14"/>
      <c r="J27" s="15"/>
      <c r="K27" s="15"/>
    </row>
    <row r="28" spans="1:11" ht="17.25" customHeight="1">
      <c r="A28" s="11">
        <v>28</v>
      </c>
      <c r="B28" s="16">
        <v>2019030104</v>
      </c>
      <c r="C28" s="58" t="s">
        <v>108</v>
      </c>
      <c r="D28" s="12">
        <v>43468</v>
      </c>
      <c r="E28" s="13"/>
      <c r="F28" s="13"/>
      <c r="G28" s="13"/>
      <c r="H28" s="59"/>
      <c r="I28" s="14"/>
      <c r="J28" s="15"/>
      <c r="K28" s="15"/>
    </row>
    <row r="29" spans="1:11" ht="17.25" customHeight="1">
      <c r="A29" s="11">
        <v>29</v>
      </c>
      <c r="B29" s="16">
        <v>2019030502</v>
      </c>
      <c r="C29" s="58" t="s">
        <v>109</v>
      </c>
      <c r="D29" s="12">
        <v>43588</v>
      </c>
      <c r="E29" s="13"/>
      <c r="F29" s="13"/>
      <c r="G29" s="13"/>
      <c r="H29" s="59"/>
      <c r="I29" s="14"/>
      <c r="J29" s="15"/>
      <c r="K29" s="15"/>
    </row>
    <row r="30" spans="1:11" ht="17.25" customHeight="1">
      <c r="A30" s="11">
        <v>30</v>
      </c>
      <c r="B30" s="16">
        <v>2019030709</v>
      </c>
      <c r="C30" s="58" t="s">
        <v>110</v>
      </c>
      <c r="D30" s="12">
        <v>43649</v>
      </c>
      <c r="E30" s="13"/>
      <c r="F30" s="13"/>
      <c r="G30" s="13"/>
      <c r="H30" s="59"/>
      <c r="I30" s="14"/>
      <c r="J30" s="15"/>
      <c r="K30" s="15"/>
    </row>
    <row r="31" spans="1:11" ht="17.25" customHeight="1">
      <c r="A31" s="11">
        <v>31</v>
      </c>
      <c r="B31" s="16">
        <v>2019032603</v>
      </c>
      <c r="C31" s="58" t="s">
        <v>111</v>
      </c>
      <c r="D31" s="12" t="s">
        <v>112</v>
      </c>
      <c r="E31" s="13"/>
      <c r="F31" s="13"/>
      <c r="G31" s="13"/>
      <c r="H31" s="59"/>
      <c r="I31" s="14"/>
      <c r="J31" s="15"/>
      <c r="K31" s="15"/>
    </row>
    <row r="32" spans="1:11" ht="17.25" customHeight="1">
      <c r="A32" s="11">
        <v>32</v>
      </c>
      <c r="B32" s="16">
        <v>2018102316</v>
      </c>
      <c r="C32" s="58" t="s">
        <v>174</v>
      </c>
      <c r="D32" s="12"/>
      <c r="E32" s="13"/>
      <c r="F32" s="13"/>
      <c r="G32" s="13"/>
      <c r="H32" s="59"/>
      <c r="I32" s="14"/>
      <c r="J32" s="15"/>
      <c r="K32" s="15"/>
    </row>
    <row r="33" spans="1:11" ht="17.25" customHeight="1">
      <c r="A33" s="11">
        <v>33</v>
      </c>
      <c r="B33" s="16">
        <v>2019080703</v>
      </c>
      <c r="C33" s="58" t="s">
        <v>143</v>
      </c>
      <c r="D33" s="12"/>
      <c r="E33" s="13"/>
      <c r="F33" s="13"/>
      <c r="G33" s="13"/>
      <c r="H33" s="59"/>
      <c r="I33" s="14"/>
      <c r="J33" s="15"/>
      <c r="K33" s="15"/>
    </row>
    <row r="34" spans="1:11" ht="17.25" customHeight="1">
      <c r="A34" s="11">
        <v>34</v>
      </c>
      <c r="B34" s="16">
        <v>2019091606</v>
      </c>
      <c r="C34" s="58" t="s">
        <v>135</v>
      </c>
      <c r="D34" s="12"/>
      <c r="E34" s="13"/>
      <c r="F34" s="13"/>
      <c r="G34" s="13"/>
      <c r="H34" s="59"/>
      <c r="I34" s="14"/>
      <c r="J34" s="15"/>
      <c r="K34" s="15"/>
    </row>
    <row r="35" spans="1:11" ht="17.25" customHeight="1">
      <c r="A35" s="11">
        <v>35</v>
      </c>
      <c r="B35" s="16">
        <v>2020021722</v>
      </c>
      <c r="C35" s="58" t="s">
        <v>164</v>
      </c>
      <c r="D35" s="12"/>
      <c r="E35" s="13"/>
      <c r="F35" s="13"/>
      <c r="G35" s="13"/>
      <c r="H35" s="59"/>
      <c r="I35" s="14"/>
      <c r="J35" s="15"/>
      <c r="K35" s="15"/>
    </row>
    <row r="36" spans="1:11" ht="17.25" customHeight="1">
      <c r="A36" s="11">
        <v>36</v>
      </c>
      <c r="B36" s="16">
        <v>2020031102</v>
      </c>
      <c r="C36" s="66" t="s">
        <v>207</v>
      </c>
      <c r="D36" s="12"/>
      <c r="E36" s="13"/>
      <c r="F36" s="13"/>
      <c r="G36" s="13"/>
      <c r="H36" s="67"/>
      <c r="I36" s="14"/>
      <c r="J36" s="15"/>
      <c r="K36" s="15"/>
    </row>
    <row r="37" spans="1:11" ht="17.25" customHeight="1">
      <c r="A37" s="11">
        <v>37</v>
      </c>
      <c r="B37" s="16">
        <v>2020031608</v>
      </c>
      <c r="C37" s="58" t="s">
        <v>211</v>
      </c>
      <c r="D37" s="12"/>
      <c r="E37" s="13"/>
      <c r="F37" s="13"/>
      <c r="G37" s="13"/>
      <c r="H37" s="59"/>
      <c r="I37" s="14"/>
      <c r="J37" s="15"/>
      <c r="K37" s="15"/>
    </row>
    <row r="38" spans="1:11" ht="17.25" customHeight="1">
      <c r="A38" s="11">
        <v>38</v>
      </c>
      <c r="B38" s="16">
        <v>2020031814</v>
      </c>
      <c r="C38" s="58" t="s">
        <v>214</v>
      </c>
      <c r="D38" s="12"/>
      <c r="E38" s="13"/>
      <c r="F38" s="13"/>
      <c r="G38" s="13"/>
      <c r="H38" s="59"/>
      <c r="I38" s="14"/>
      <c r="J38" s="15"/>
      <c r="K38" s="15"/>
    </row>
    <row r="39" spans="1:11" ht="17.25" customHeight="1">
      <c r="A39" s="11">
        <v>39</v>
      </c>
      <c r="B39" s="16">
        <v>2020031903</v>
      </c>
      <c r="C39" s="58" t="s">
        <v>215</v>
      </c>
      <c r="D39" s="12"/>
      <c r="E39" s="13"/>
      <c r="F39" s="13"/>
      <c r="G39" s="13"/>
      <c r="H39" s="59"/>
      <c r="I39" s="14"/>
      <c r="J39" s="15"/>
      <c r="K39" s="15"/>
    </row>
    <row r="40" spans="1:11" ht="17.25" customHeight="1">
      <c r="A40" s="11">
        <v>40</v>
      </c>
      <c r="B40" s="61">
        <v>2020032306</v>
      </c>
      <c r="C40" s="62" t="s">
        <v>221</v>
      </c>
      <c r="D40" s="53"/>
      <c r="E40" s="54"/>
      <c r="F40" s="54"/>
      <c r="G40" s="54"/>
      <c r="H40" s="63"/>
      <c r="I40" s="55"/>
      <c r="J40" s="15"/>
      <c r="K40" s="56"/>
    </row>
    <row r="41" spans="1:11" ht="17.25" customHeight="1">
      <c r="A41" s="60">
        <v>41</v>
      </c>
      <c r="B41" s="52">
        <v>2020041701</v>
      </c>
      <c r="C41" s="62" t="s">
        <v>229</v>
      </c>
      <c r="D41" s="53"/>
      <c r="E41" s="54"/>
      <c r="F41" s="54"/>
      <c r="G41" s="54"/>
      <c r="H41" s="64"/>
      <c r="I41" s="55"/>
      <c r="J41" s="15"/>
      <c r="K41" s="56"/>
    </row>
    <row r="42" spans="1:11" ht="17.25" customHeight="1">
      <c r="A42" s="60"/>
      <c r="B42" s="52"/>
      <c r="C42" s="62"/>
      <c r="D42" s="53"/>
      <c r="E42" s="54"/>
      <c r="F42" s="54"/>
      <c r="G42" s="54"/>
      <c r="H42" s="64"/>
      <c r="I42" s="55"/>
      <c r="J42" s="15"/>
      <c r="K42" s="56"/>
    </row>
    <row r="43" spans="1:11" ht="17.25" customHeight="1">
      <c r="A43" s="11"/>
      <c r="B43" s="52"/>
      <c r="C43" s="62"/>
      <c r="D43" s="53"/>
      <c r="E43" s="54"/>
      <c r="F43" s="54"/>
      <c r="G43" s="54"/>
      <c r="H43" s="64"/>
      <c r="I43" s="55"/>
      <c r="J43" s="15"/>
      <c r="K43" s="56"/>
    </row>
    <row r="44" spans="1:11" ht="17.25" customHeight="1">
      <c r="A44" s="11"/>
      <c r="B44" s="61"/>
      <c r="C44" s="62"/>
      <c r="D44" s="53"/>
      <c r="E44" s="54"/>
      <c r="F44" s="54"/>
      <c r="G44" s="54"/>
      <c r="H44" s="63"/>
      <c r="I44" s="55"/>
      <c r="J44" s="15"/>
      <c r="K44" s="56"/>
    </row>
    <row r="45" spans="1:11" ht="17.25" customHeight="1">
      <c r="A45" s="11"/>
      <c r="B45" s="52"/>
      <c r="C45" s="62"/>
      <c r="D45" s="53"/>
      <c r="E45" s="54"/>
      <c r="F45" s="54"/>
      <c r="G45" s="54"/>
      <c r="H45" s="64"/>
      <c r="I45" s="55"/>
      <c r="J45" s="15"/>
      <c r="K45" s="56"/>
    </row>
    <row r="46" spans="1:11" ht="17.25" customHeight="1">
      <c r="A46" s="51"/>
      <c r="B46" s="52"/>
      <c r="C46" s="62"/>
      <c r="D46" s="53"/>
      <c r="E46" s="54"/>
      <c r="F46" s="54"/>
      <c r="G46" s="54"/>
      <c r="H46" s="64"/>
      <c r="I46" s="55"/>
      <c r="J46" s="15"/>
      <c r="K46" s="56"/>
    </row>
    <row r="47" spans="1:11" ht="17.25" customHeight="1">
      <c r="A47" s="11"/>
      <c r="B47" s="52"/>
      <c r="C47" s="62"/>
      <c r="D47" s="53"/>
      <c r="E47" s="54"/>
      <c r="F47" s="54"/>
      <c r="G47" s="54"/>
      <c r="H47" s="64"/>
      <c r="I47" s="55"/>
      <c r="J47" s="15"/>
      <c r="K47" s="56"/>
    </row>
    <row r="48" spans="1:11" ht="17.25" customHeight="1">
      <c r="A48" s="51"/>
      <c r="B48" s="52"/>
      <c r="C48" s="62"/>
      <c r="D48" s="53"/>
      <c r="E48" s="54"/>
      <c r="F48" s="54"/>
      <c r="G48" s="54"/>
      <c r="H48" s="64"/>
      <c r="I48" s="55"/>
      <c r="J48" s="15"/>
      <c r="K48" s="56"/>
    </row>
    <row r="49" spans="1:59" ht="17.25" customHeight="1">
      <c r="A49" s="11"/>
      <c r="B49" s="52"/>
      <c r="C49" s="62"/>
      <c r="D49" s="53"/>
      <c r="E49" s="54"/>
      <c r="F49" s="54"/>
      <c r="G49" s="54"/>
      <c r="H49" s="64"/>
      <c r="I49" s="55"/>
      <c r="J49" s="15"/>
      <c r="K49" s="56"/>
    </row>
    <row r="50" spans="1:59" ht="17.25" customHeight="1">
      <c r="A50" s="51"/>
      <c r="B50" s="52"/>
      <c r="C50" s="62"/>
      <c r="D50" s="53"/>
      <c r="E50" s="54"/>
      <c r="F50" s="54"/>
      <c r="G50" s="54"/>
      <c r="H50" s="64"/>
      <c r="I50" s="55"/>
      <c r="J50" s="15"/>
      <c r="K50" s="56"/>
    </row>
    <row r="51" spans="1:59" ht="17.25" customHeight="1">
      <c r="A51" s="11"/>
      <c r="B51" s="52"/>
      <c r="C51" s="62"/>
      <c r="D51" s="53"/>
      <c r="E51" s="54"/>
      <c r="F51" s="54"/>
      <c r="G51" s="54"/>
      <c r="H51" s="64"/>
      <c r="I51" s="55"/>
      <c r="J51" s="15"/>
      <c r="K51" s="56"/>
    </row>
    <row r="52" spans="1:59" ht="17.25" customHeight="1">
      <c r="A52" s="51"/>
      <c r="B52" s="52"/>
      <c r="C52" s="62"/>
      <c r="D52" s="53"/>
      <c r="E52" s="54"/>
      <c r="F52" s="54"/>
      <c r="G52" s="54"/>
      <c r="H52" s="64"/>
      <c r="I52" s="55"/>
      <c r="J52" s="15"/>
      <c r="K52" s="56"/>
    </row>
    <row r="53" spans="1:59" ht="17.25" customHeight="1">
      <c r="A53" s="11"/>
      <c r="B53" s="52"/>
      <c r="C53" s="62"/>
      <c r="D53" s="53"/>
      <c r="E53" s="54"/>
      <c r="F53" s="54"/>
      <c r="G53" s="54"/>
      <c r="H53" s="64"/>
      <c r="I53" s="55"/>
      <c r="J53" s="15"/>
      <c r="K53" s="56"/>
    </row>
    <row r="54" spans="1:59" ht="17.25" customHeight="1">
      <c r="A54" s="51"/>
      <c r="B54" s="52"/>
      <c r="C54" s="62"/>
      <c r="D54" s="53"/>
      <c r="E54" s="54"/>
      <c r="F54" s="54"/>
      <c r="G54" s="54"/>
      <c r="H54" s="64"/>
      <c r="I54" s="55"/>
      <c r="J54" s="15"/>
      <c r="K54" s="56"/>
    </row>
    <row r="55" spans="1:59" ht="17.25" customHeight="1">
      <c r="A55" s="11"/>
      <c r="B55" s="52"/>
      <c r="C55" s="62"/>
      <c r="D55" s="53"/>
      <c r="E55" s="54"/>
      <c r="F55" s="54"/>
      <c r="G55" s="54"/>
      <c r="H55" s="64"/>
      <c r="I55" s="55"/>
      <c r="J55" s="15"/>
      <c r="K55" s="56"/>
    </row>
    <row r="56" spans="1:59" ht="17.25" customHeight="1">
      <c r="A56" s="51"/>
      <c r="B56" s="52"/>
      <c r="C56" s="62"/>
      <c r="D56" s="53"/>
      <c r="E56" s="54"/>
      <c r="F56" s="54"/>
      <c r="G56" s="54"/>
      <c r="H56" s="64"/>
      <c r="I56" s="55"/>
      <c r="J56" s="15"/>
      <c r="K56" s="56"/>
    </row>
    <row r="57" spans="1:59" ht="17.25" customHeight="1">
      <c r="A57" s="11"/>
      <c r="B57" s="52"/>
      <c r="C57" s="62"/>
      <c r="D57" s="53"/>
      <c r="E57" s="54"/>
      <c r="F57" s="54"/>
      <c r="G57" s="54"/>
      <c r="H57" s="64"/>
      <c r="I57" s="55"/>
      <c r="J57" s="15"/>
      <c r="K57" s="56"/>
    </row>
    <row r="58" spans="1:59" ht="17.25" customHeight="1">
      <c r="A58" s="51"/>
      <c r="B58" s="52"/>
      <c r="C58" s="62"/>
      <c r="D58" s="53"/>
      <c r="E58" s="54"/>
      <c r="F58" s="54"/>
      <c r="G58" s="54"/>
      <c r="H58" s="64"/>
      <c r="I58" s="55"/>
      <c r="J58" s="15"/>
      <c r="K58" s="56"/>
    </row>
    <row r="59" spans="1:59" ht="17.25" customHeight="1">
      <c r="A59" s="11"/>
      <c r="B59" s="52"/>
      <c r="C59" s="62"/>
      <c r="D59" s="53"/>
      <c r="E59" s="54"/>
      <c r="F59" s="54"/>
      <c r="G59" s="54"/>
      <c r="H59" s="64"/>
      <c r="I59" s="55"/>
      <c r="J59" s="15"/>
      <c r="K59" s="56"/>
    </row>
    <row r="60" spans="1:59" ht="17.25" customHeight="1">
      <c r="A60" s="51"/>
      <c r="B60" s="52"/>
      <c r="C60" s="62"/>
      <c r="D60" s="53"/>
      <c r="E60" s="54"/>
      <c r="F60" s="54"/>
      <c r="G60" s="54"/>
      <c r="H60" s="64"/>
      <c r="I60" s="55"/>
      <c r="J60" s="15"/>
      <c r="K60" s="56"/>
    </row>
    <row r="61" spans="1:59" s="5" customFormat="1" ht="17.25" customHeight="1">
      <c r="A61" s="11"/>
      <c r="B61" s="52"/>
      <c r="C61" s="62"/>
      <c r="D61" s="53"/>
      <c r="E61" s="54"/>
      <c r="F61" s="54"/>
      <c r="G61" s="54"/>
      <c r="H61" s="64"/>
      <c r="I61" s="55"/>
      <c r="J61" s="15"/>
      <c r="K61" s="56"/>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row>
    <row r="62" spans="1:59" ht="17.25" customHeight="1">
      <c r="A62" s="51"/>
      <c r="B62" s="52"/>
      <c r="C62" s="62"/>
      <c r="D62" s="53"/>
      <c r="E62" s="54"/>
      <c r="F62" s="54"/>
      <c r="G62" s="54"/>
      <c r="H62" s="64"/>
      <c r="I62" s="55"/>
      <c r="J62" s="15"/>
      <c r="K62" s="56"/>
    </row>
    <row r="63" spans="1:59" ht="17.25" customHeight="1">
      <c r="A63" s="11"/>
      <c r="B63" s="52"/>
      <c r="C63" s="62"/>
      <c r="D63" s="53"/>
      <c r="E63" s="54"/>
      <c r="F63" s="54"/>
      <c r="G63" s="54"/>
      <c r="H63" s="64"/>
      <c r="I63" s="55"/>
      <c r="J63" s="15"/>
      <c r="K63" s="56"/>
    </row>
    <row r="64" spans="1:59" ht="17.25" customHeight="1">
      <c r="A64" s="51"/>
      <c r="B64" s="52"/>
      <c r="C64" s="62"/>
      <c r="D64" s="53"/>
      <c r="E64" s="54"/>
      <c r="F64" s="54"/>
      <c r="G64" s="54"/>
      <c r="H64" s="64"/>
      <c r="I64" s="55"/>
      <c r="J64" s="15"/>
      <c r="K64" s="56"/>
    </row>
    <row r="65" spans="1:11" ht="17.25" customHeight="1">
      <c r="A65" s="11"/>
      <c r="B65" s="52"/>
      <c r="C65" s="62"/>
      <c r="D65" s="53"/>
      <c r="E65" s="54"/>
      <c r="F65" s="54"/>
      <c r="G65" s="54"/>
      <c r="H65" s="64"/>
      <c r="I65" s="55"/>
      <c r="J65" s="15"/>
      <c r="K65" s="56"/>
    </row>
    <row r="66" spans="1:11" ht="17.25" customHeight="1">
      <c r="A66" s="51"/>
      <c r="B66" s="52"/>
      <c r="C66" s="62"/>
      <c r="D66" s="53"/>
      <c r="E66" s="54"/>
      <c r="F66" s="54"/>
      <c r="G66" s="54"/>
      <c r="H66" s="64"/>
      <c r="I66" s="55"/>
      <c r="J66" s="15"/>
      <c r="K66" s="56"/>
    </row>
    <row r="67" spans="1:11" ht="17.25" customHeight="1">
      <c r="A67" s="11"/>
      <c r="B67" s="52"/>
      <c r="C67" s="62"/>
      <c r="D67" s="53"/>
      <c r="E67" s="54"/>
      <c r="F67" s="54"/>
      <c r="G67" s="54"/>
      <c r="H67" s="64"/>
      <c r="I67" s="55"/>
      <c r="J67" s="15"/>
      <c r="K67" s="56"/>
    </row>
    <row r="68" spans="1:11" ht="17.25" customHeight="1">
      <c r="A68" s="11"/>
      <c r="B68" s="52"/>
      <c r="C68" s="62"/>
      <c r="D68" s="53"/>
      <c r="E68" s="54"/>
      <c r="F68" s="54"/>
      <c r="G68" s="54"/>
      <c r="H68" s="64"/>
      <c r="I68" s="55"/>
      <c r="J68" s="15"/>
      <c r="K68" s="56"/>
    </row>
    <row r="69" spans="1:11" ht="17.25" customHeight="1">
      <c r="A69" s="51"/>
      <c r="B69" s="52"/>
      <c r="C69" s="62"/>
      <c r="D69" s="53"/>
      <c r="E69" s="54"/>
      <c r="F69" s="54"/>
      <c r="G69" s="54"/>
      <c r="H69" s="64"/>
      <c r="I69" s="55"/>
      <c r="J69" s="15"/>
      <c r="K69" s="56"/>
    </row>
    <row r="70" spans="1:11" ht="17.25" customHeight="1">
      <c r="A70" s="11"/>
      <c r="B70" s="52"/>
      <c r="C70" s="62"/>
      <c r="D70" s="53"/>
      <c r="E70" s="54"/>
      <c r="F70" s="54"/>
      <c r="G70" s="54"/>
      <c r="H70" s="64"/>
      <c r="I70" s="55"/>
      <c r="J70" s="15"/>
      <c r="K70" s="56"/>
    </row>
    <row r="71" spans="1:11" ht="17.25" customHeight="1">
      <c r="A71" s="51"/>
      <c r="B71" s="52"/>
      <c r="C71" s="62"/>
      <c r="D71" s="53"/>
      <c r="E71" s="54"/>
      <c r="F71" s="54"/>
      <c r="G71" s="54"/>
      <c r="H71" s="64"/>
      <c r="I71" s="55"/>
      <c r="J71" s="15"/>
      <c r="K71" s="56"/>
    </row>
    <row r="72" spans="1:11" ht="17.25" customHeight="1">
      <c r="A72" s="11"/>
      <c r="B72" s="52"/>
      <c r="C72" s="62"/>
      <c r="D72" s="53"/>
      <c r="E72" s="54"/>
      <c r="F72" s="54"/>
      <c r="G72" s="54"/>
      <c r="H72" s="64"/>
      <c r="I72" s="55"/>
      <c r="J72" s="15"/>
      <c r="K72" s="56"/>
    </row>
    <row r="73" spans="1:11" ht="17.25" customHeight="1">
      <c r="A73" s="51"/>
      <c r="B73" s="52"/>
      <c r="C73" s="62"/>
      <c r="D73" s="53"/>
      <c r="E73" s="54"/>
      <c r="F73" s="54"/>
      <c r="G73" s="54"/>
      <c r="H73" s="64"/>
      <c r="I73" s="55"/>
      <c r="J73" s="15"/>
      <c r="K73" s="56"/>
    </row>
    <row r="74" spans="1:11" ht="17.25" customHeight="1">
      <c r="A74" s="11"/>
      <c r="B74" s="52"/>
      <c r="C74" s="62"/>
      <c r="D74" s="53"/>
      <c r="E74" s="54"/>
      <c r="F74" s="54"/>
      <c r="G74" s="54"/>
      <c r="H74" s="64"/>
      <c r="I74" s="55"/>
      <c r="J74" s="15"/>
      <c r="K74" s="56"/>
    </row>
    <row r="75" spans="1:11" ht="17.25" customHeight="1">
      <c r="A75" s="51"/>
      <c r="B75" s="52"/>
      <c r="C75" s="62"/>
      <c r="D75" s="53"/>
      <c r="E75" s="54"/>
      <c r="F75" s="54"/>
      <c r="G75" s="54"/>
      <c r="H75" s="64"/>
      <c r="I75" s="55"/>
      <c r="J75" s="15"/>
      <c r="K75" s="56"/>
    </row>
    <row r="76" spans="1:11" ht="17.25" customHeight="1">
      <c r="A76" s="11"/>
      <c r="B76" s="52"/>
      <c r="C76" s="62"/>
      <c r="D76" s="53"/>
      <c r="E76" s="54"/>
      <c r="F76" s="54"/>
      <c r="G76" s="54"/>
      <c r="H76" s="64"/>
      <c r="I76" s="55"/>
      <c r="J76" s="15"/>
      <c r="K76" s="56"/>
    </row>
    <row r="77" spans="1:11" ht="17.25" customHeight="1">
      <c r="A77" s="51"/>
      <c r="B77" s="52"/>
      <c r="C77" s="62"/>
      <c r="D77" s="53"/>
      <c r="E77" s="54"/>
      <c r="F77" s="54"/>
      <c r="G77" s="54"/>
      <c r="H77" s="64"/>
      <c r="I77" s="55"/>
      <c r="J77" s="15"/>
      <c r="K77" s="56"/>
    </row>
    <row r="78" spans="1:11" ht="17.25" customHeight="1">
      <c r="A78" s="11"/>
      <c r="B78" s="52"/>
      <c r="C78" s="62"/>
      <c r="D78" s="53"/>
      <c r="E78" s="54"/>
      <c r="F78" s="54"/>
      <c r="G78" s="54"/>
      <c r="H78" s="64"/>
      <c r="I78" s="55"/>
      <c r="J78" s="15"/>
      <c r="K78" s="56"/>
    </row>
    <row r="79" spans="1:11" ht="17.25" customHeight="1">
      <c r="A79" s="51"/>
      <c r="B79" s="52"/>
      <c r="C79" s="62"/>
      <c r="D79" s="53"/>
      <c r="E79" s="54"/>
      <c r="F79" s="54"/>
      <c r="G79" s="54"/>
      <c r="H79" s="64"/>
      <c r="I79" s="55"/>
      <c r="J79" s="15"/>
      <c r="K79" s="56"/>
    </row>
    <row r="80" spans="1:11" ht="17.25" customHeight="1">
      <c r="A80" s="11"/>
      <c r="B80" s="52"/>
      <c r="C80" s="62"/>
      <c r="D80" s="53"/>
      <c r="E80" s="54"/>
      <c r="F80" s="54"/>
      <c r="G80" s="54"/>
      <c r="H80" s="64"/>
      <c r="I80" s="55"/>
      <c r="J80" s="15"/>
      <c r="K80" s="56"/>
    </row>
    <row r="81" spans="1:11" ht="17.25" customHeight="1">
      <c r="A81" s="51"/>
      <c r="B81" s="52"/>
      <c r="C81" s="62"/>
      <c r="D81" s="53"/>
      <c r="E81" s="54"/>
      <c r="F81" s="54"/>
      <c r="G81" s="54"/>
      <c r="H81" s="64"/>
      <c r="I81" s="55"/>
      <c r="J81" s="15"/>
      <c r="K81" s="56"/>
    </row>
    <row r="82" spans="1:11" ht="17.25" customHeight="1">
      <c r="A82" s="11"/>
      <c r="B82" s="52"/>
      <c r="C82" s="62"/>
      <c r="D82" s="53"/>
      <c r="E82" s="54"/>
      <c r="F82" s="54"/>
      <c r="G82" s="54"/>
      <c r="H82" s="64"/>
      <c r="I82" s="55"/>
      <c r="J82" s="15"/>
      <c r="K82" s="56"/>
    </row>
    <row r="83" spans="1:11" ht="17.25" customHeight="1">
      <c r="A83" s="51"/>
      <c r="B83" s="52"/>
      <c r="C83" s="62"/>
      <c r="D83" s="53"/>
      <c r="E83" s="54"/>
      <c r="F83" s="54"/>
      <c r="G83" s="54"/>
      <c r="H83" s="64"/>
      <c r="I83" s="55"/>
      <c r="J83" s="15"/>
      <c r="K83" s="56"/>
    </row>
    <row r="84" spans="1:11" ht="17.25" customHeight="1">
      <c r="A84" s="11"/>
      <c r="B84" s="52"/>
      <c r="C84" s="62"/>
      <c r="D84" s="53"/>
      <c r="E84" s="54"/>
      <c r="F84" s="54"/>
      <c r="G84" s="54"/>
      <c r="H84" s="64"/>
      <c r="I84" s="55"/>
      <c r="J84" s="15"/>
      <c r="K84" s="56"/>
    </row>
    <row r="85" spans="1:11" ht="17.25" customHeight="1">
      <c r="A85" s="51"/>
      <c r="B85" s="52"/>
      <c r="C85" s="62"/>
      <c r="D85" s="53"/>
      <c r="E85" s="54"/>
      <c r="F85" s="54"/>
      <c r="G85" s="54"/>
      <c r="H85" s="64"/>
      <c r="I85" s="55"/>
      <c r="J85" s="15"/>
      <c r="K85" s="56"/>
    </row>
    <row r="86" spans="1:11" ht="17.25" customHeight="1">
      <c r="A86" s="11"/>
      <c r="B86" s="52"/>
      <c r="C86" s="62"/>
      <c r="D86" s="53"/>
      <c r="E86" s="54"/>
      <c r="F86" s="54"/>
      <c r="G86" s="54"/>
      <c r="H86" s="64"/>
      <c r="I86" s="55"/>
      <c r="J86" s="15"/>
      <c r="K86" s="56"/>
    </row>
    <row r="87" spans="1:11" ht="17.25" customHeight="1">
      <c r="A87" s="51"/>
      <c r="B87" s="52"/>
      <c r="C87" s="62"/>
      <c r="D87" s="53"/>
      <c r="E87" s="54"/>
      <c r="F87" s="54"/>
      <c r="G87" s="54"/>
      <c r="H87" s="64"/>
      <c r="I87" s="55"/>
      <c r="J87" s="15"/>
      <c r="K87" s="56"/>
    </row>
    <row r="88" spans="1:11" ht="17.25" customHeight="1">
      <c r="A88" s="11"/>
      <c r="B88" s="52"/>
      <c r="C88" s="62"/>
      <c r="D88" s="53"/>
      <c r="E88" s="54"/>
      <c r="F88" s="54"/>
      <c r="G88" s="54"/>
      <c r="H88" s="64"/>
      <c r="I88" s="55"/>
      <c r="J88" s="15"/>
      <c r="K88" s="56"/>
    </row>
    <row r="89" spans="1:11" ht="17.25" customHeight="1">
      <c r="A89" s="51"/>
      <c r="B89" s="52"/>
      <c r="C89" s="62"/>
      <c r="D89" s="53"/>
      <c r="E89" s="54"/>
      <c r="F89" s="54"/>
      <c r="G89" s="54"/>
      <c r="H89" s="64"/>
      <c r="I89" s="55"/>
      <c r="J89" s="15"/>
      <c r="K89" s="56"/>
    </row>
    <row r="90" spans="1:11" ht="17.25" customHeight="1">
      <c r="A90" s="11"/>
      <c r="B90" s="52"/>
      <c r="C90" s="62"/>
      <c r="D90" s="53"/>
      <c r="E90" s="54"/>
      <c r="F90" s="54"/>
      <c r="G90" s="54"/>
      <c r="H90" s="64"/>
      <c r="I90" s="55"/>
      <c r="J90" s="15"/>
      <c r="K90" s="56"/>
    </row>
    <row r="91" spans="1:11" ht="17.25" customHeight="1">
      <c r="A91" s="51"/>
      <c r="B91" s="52"/>
      <c r="C91" s="62"/>
      <c r="D91" s="53"/>
      <c r="E91" s="54"/>
      <c r="F91" s="54"/>
      <c r="G91" s="54"/>
      <c r="H91" s="64"/>
      <c r="I91" s="55"/>
      <c r="J91" s="15"/>
      <c r="K91" s="56"/>
    </row>
    <row r="92" spans="1:11" ht="17.25" customHeight="1">
      <c r="A92" s="11"/>
      <c r="B92" s="52"/>
      <c r="C92" s="62"/>
      <c r="D92" s="53"/>
      <c r="E92" s="54"/>
      <c r="F92" s="54"/>
      <c r="G92" s="54"/>
      <c r="H92" s="64"/>
      <c r="I92" s="55"/>
      <c r="J92" s="15"/>
      <c r="K92" s="56"/>
    </row>
    <row r="93" spans="1:11" ht="17.25" customHeight="1">
      <c r="A93" s="51"/>
      <c r="B93" s="52"/>
      <c r="C93" s="62"/>
      <c r="D93" s="53"/>
      <c r="E93" s="54"/>
      <c r="F93" s="54"/>
      <c r="G93" s="54"/>
      <c r="H93" s="64"/>
      <c r="I93" s="55"/>
      <c r="J93" s="15"/>
      <c r="K93" s="56"/>
    </row>
    <row r="94" spans="1:11" ht="17.25" customHeight="1">
      <c r="A94" s="11"/>
      <c r="B94" s="52"/>
      <c r="C94" s="62"/>
      <c r="D94" s="53"/>
      <c r="E94" s="54"/>
      <c r="F94" s="54"/>
      <c r="G94" s="54"/>
      <c r="H94" s="64"/>
      <c r="I94" s="55"/>
      <c r="J94" s="15"/>
      <c r="K94" s="56"/>
    </row>
    <row r="95" spans="1:11" ht="17.25" customHeight="1">
      <c r="A95" s="51"/>
      <c r="B95" s="52"/>
      <c r="C95" s="62"/>
      <c r="D95" s="53"/>
      <c r="E95" s="54"/>
      <c r="F95" s="54"/>
      <c r="G95" s="54"/>
      <c r="H95" s="64"/>
      <c r="I95" s="55"/>
      <c r="J95" s="15"/>
      <c r="K95" s="56"/>
    </row>
    <row r="96" spans="1:11" ht="17.25" customHeight="1">
      <c r="A96" s="11"/>
      <c r="B96" s="52"/>
      <c r="C96" s="62"/>
      <c r="D96" s="53"/>
      <c r="E96" s="54"/>
      <c r="F96" s="54"/>
      <c r="G96" s="54"/>
      <c r="H96" s="64"/>
      <c r="I96" s="55"/>
      <c r="J96" s="15"/>
      <c r="K96" s="56"/>
    </row>
    <row r="97" spans="1:11" ht="17.25" customHeight="1">
      <c r="A97" s="51"/>
      <c r="B97" s="52"/>
      <c r="C97" s="62"/>
      <c r="D97" s="53"/>
      <c r="E97" s="54"/>
      <c r="F97" s="54"/>
      <c r="G97" s="54"/>
      <c r="H97" s="64"/>
      <c r="I97" s="55"/>
      <c r="J97" s="15"/>
      <c r="K97" s="56"/>
    </row>
    <row r="98" spans="1:11" ht="17.25" customHeight="1">
      <c r="A98" s="11"/>
      <c r="B98" s="52"/>
      <c r="C98" s="62"/>
      <c r="D98" s="53"/>
      <c r="E98" s="54"/>
      <c r="F98" s="54"/>
      <c r="G98" s="54"/>
      <c r="H98" s="64"/>
      <c r="I98" s="55"/>
      <c r="J98" s="15"/>
      <c r="K98" s="56"/>
    </row>
    <row r="99" spans="1:11" ht="17.25" customHeight="1">
      <c r="A99" s="51"/>
      <c r="B99" s="52"/>
      <c r="C99" s="62"/>
      <c r="D99" s="53"/>
      <c r="E99" s="54"/>
      <c r="F99" s="54"/>
      <c r="G99" s="54"/>
      <c r="H99" s="64"/>
      <c r="I99" s="55"/>
      <c r="J99" s="15"/>
      <c r="K99" s="56"/>
    </row>
    <row r="100" spans="1:11" ht="17.25" customHeight="1">
      <c r="A100" s="11"/>
      <c r="B100" s="52"/>
      <c r="C100" s="62"/>
      <c r="D100" s="53"/>
      <c r="E100" s="54"/>
      <c r="F100" s="54"/>
      <c r="G100" s="54"/>
      <c r="H100" s="64"/>
      <c r="I100" s="55"/>
      <c r="J100" s="15"/>
      <c r="K100" s="56"/>
    </row>
    <row r="101" spans="1:11" ht="17.25" customHeight="1">
      <c r="A101" s="51"/>
      <c r="B101" s="52"/>
      <c r="C101" s="62"/>
      <c r="D101" s="53"/>
      <c r="E101" s="54"/>
      <c r="F101" s="54"/>
      <c r="G101" s="54"/>
      <c r="H101" s="64"/>
      <c r="I101" s="55"/>
      <c r="J101" s="15"/>
      <c r="K101" s="56"/>
    </row>
    <row r="102" spans="1:11" ht="17.25" customHeight="1">
      <c r="A102" s="11"/>
      <c r="B102" s="52"/>
      <c r="C102" s="62"/>
      <c r="D102" s="53"/>
      <c r="E102" s="54"/>
      <c r="F102" s="54"/>
      <c r="G102" s="54"/>
      <c r="H102" s="64"/>
      <c r="I102" s="55"/>
      <c r="J102" s="15"/>
      <c r="K102" s="56"/>
    </row>
    <row r="103" spans="1:11" ht="17.25" customHeight="1">
      <c r="A103" s="51"/>
      <c r="B103" s="52"/>
      <c r="C103" s="62"/>
      <c r="D103" s="53"/>
      <c r="E103" s="54"/>
      <c r="F103" s="54"/>
      <c r="G103" s="54"/>
      <c r="H103" s="64"/>
      <c r="I103" s="55"/>
      <c r="J103" s="15"/>
      <c r="K103" s="56"/>
    </row>
    <row r="104" spans="1:11" ht="17.25" customHeight="1">
      <c r="A104" s="11"/>
      <c r="B104" s="52"/>
      <c r="C104" s="62"/>
      <c r="D104" s="53"/>
      <c r="E104" s="54"/>
      <c r="F104" s="54"/>
      <c r="G104" s="54"/>
      <c r="H104" s="64"/>
      <c r="I104" s="55"/>
      <c r="J104" s="15"/>
      <c r="K104" s="56"/>
    </row>
    <row r="105" spans="1:11" ht="17.25" customHeight="1">
      <c r="A105" s="51"/>
      <c r="B105" s="52"/>
      <c r="C105" s="62"/>
      <c r="D105" s="53"/>
      <c r="E105" s="54"/>
      <c r="F105" s="54"/>
      <c r="G105" s="54"/>
      <c r="H105" s="64"/>
      <c r="I105" s="55"/>
      <c r="J105" s="15"/>
      <c r="K105" s="56"/>
    </row>
    <row r="106" spans="1:11" ht="17.25" customHeight="1">
      <c r="A106" s="11"/>
      <c r="B106" s="52"/>
      <c r="C106" s="62"/>
      <c r="D106" s="53"/>
      <c r="E106" s="54"/>
      <c r="F106" s="54"/>
      <c r="G106" s="54"/>
      <c r="H106" s="64"/>
      <c r="I106" s="55"/>
      <c r="J106" s="15"/>
      <c r="K106" s="56"/>
    </row>
    <row r="107" spans="1:11" ht="17.25" customHeight="1">
      <c r="A107" s="51"/>
      <c r="B107" s="52"/>
      <c r="C107" s="62"/>
      <c r="D107" s="53"/>
      <c r="E107" s="54"/>
      <c r="F107" s="54"/>
      <c r="G107" s="54"/>
      <c r="H107" s="64"/>
      <c r="I107" s="55"/>
      <c r="J107" s="15"/>
      <c r="K107" s="56"/>
    </row>
    <row r="108" spans="1:11" ht="17.25" customHeight="1">
      <c r="A108" s="11"/>
      <c r="B108" s="52"/>
      <c r="C108" s="62"/>
      <c r="D108" s="53"/>
      <c r="E108" s="54"/>
      <c r="F108" s="54"/>
      <c r="G108" s="54"/>
      <c r="H108" s="64"/>
      <c r="I108" s="55"/>
      <c r="J108" s="15"/>
      <c r="K108" s="56"/>
    </row>
    <row r="109" spans="1:11" ht="17.25" customHeight="1">
      <c r="A109" s="51"/>
      <c r="B109" s="52"/>
      <c r="C109" s="62"/>
      <c r="D109" s="53"/>
      <c r="E109" s="54"/>
      <c r="F109" s="54"/>
      <c r="G109" s="54"/>
      <c r="H109" s="64"/>
      <c r="I109" s="55"/>
      <c r="J109" s="15"/>
      <c r="K109" s="56"/>
    </row>
    <row r="110" spans="1:11" ht="17.25" customHeight="1">
      <c r="A110" s="11"/>
      <c r="B110" s="52"/>
      <c r="C110" s="62"/>
      <c r="D110" s="53"/>
      <c r="E110" s="54"/>
      <c r="F110" s="54"/>
      <c r="G110" s="54"/>
      <c r="H110" s="64"/>
      <c r="I110" s="55"/>
      <c r="J110" s="15"/>
      <c r="K110" s="56"/>
    </row>
    <row r="111" spans="1:11" ht="17.25" customHeight="1">
      <c r="A111" s="51"/>
      <c r="B111" s="52"/>
      <c r="C111" s="62"/>
      <c r="D111" s="53"/>
      <c r="E111" s="54"/>
      <c r="F111" s="54"/>
      <c r="G111" s="54"/>
      <c r="H111" s="64"/>
      <c r="I111" s="55"/>
      <c r="J111" s="15"/>
      <c r="K111" s="56"/>
    </row>
    <row r="112" spans="1:11" ht="17.25" customHeight="1">
      <c r="A112" s="11"/>
      <c r="B112" s="52"/>
      <c r="C112" s="62"/>
      <c r="D112" s="53"/>
      <c r="E112" s="54"/>
      <c r="F112" s="54"/>
      <c r="G112" s="54"/>
      <c r="H112" s="64"/>
      <c r="I112" s="55"/>
      <c r="J112" s="15"/>
      <c r="K112" s="56"/>
    </row>
    <row r="113" spans="1:11" ht="17.25" customHeight="1">
      <c r="A113" s="51"/>
      <c r="B113" s="52"/>
      <c r="C113" s="62"/>
      <c r="D113" s="53"/>
      <c r="E113" s="54"/>
      <c r="F113" s="54"/>
      <c r="G113" s="54"/>
      <c r="H113" s="64"/>
      <c r="I113" s="55"/>
      <c r="J113" s="15"/>
      <c r="K113" s="56"/>
    </row>
    <row r="114" spans="1:11" ht="17.25" customHeight="1">
      <c r="A114" s="11"/>
      <c r="B114" s="52"/>
      <c r="C114" s="62"/>
      <c r="D114" s="53"/>
      <c r="E114" s="54"/>
      <c r="F114" s="54"/>
      <c r="G114" s="54"/>
      <c r="H114" s="64"/>
      <c r="I114" s="55"/>
      <c r="J114" s="15"/>
      <c r="K114" s="56"/>
    </row>
    <row r="115" spans="1:11" ht="17.25" customHeight="1">
      <c r="A115" s="51"/>
      <c r="B115" s="52"/>
      <c r="C115" s="62"/>
      <c r="D115" s="53"/>
      <c r="E115" s="54"/>
      <c r="F115" s="54"/>
      <c r="G115" s="54"/>
      <c r="H115" s="64"/>
      <c r="I115" s="55"/>
      <c r="J115" s="15"/>
      <c r="K115" s="56"/>
    </row>
    <row r="116" spans="1:11" ht="17.25" customHeight="1">
      <c r="A116" s="11"/>
      <c r="B116" s="52"/>
      <c r="C116" s="62"/>
      <c r="D116" s="53"/>
      <c r="E116" s="54"/>
      <c r="F116" s="54"/>
      <c r="G116" s="54"/>
      <c r="H116" s="64"/>
      <c r="I116" s="55"/>
      <c r="J116" s="15"/>
      <c r="K116" s="56"/>
    </row>
    <row r="117" spans="1:11" ht="17.25" customHeight="1">
      <c r="A117" s="51"/>
      <c r="B117" s="52"/>
      <c r="C117" s="62"/>
      <c r="D117" s="53"/>
      <c r="E117" s="54"/>
      <c r="F117" s="54"/>
      <c r="G117" s="54"/>
      <c r="H117" s="64"/>
      <c r="I117" s="55"/>
      <c r="J117" s="15"/>
      <c r="K117" s="56"/>
    </row>
    <row r="118" spans="1:11" ht="17.25" customHeight="1">
      <c r="A118" s="11"/>
      <c r="B118" s="52"/>
      <c r="C118" s="62"/>
      <c r="D118" s="53"/>
      <c r="E118" s="54"/>
      <c r="F118" s="54"/>
      <c r="G118" s="54"/>
      <c r="H118" s="64"/>
      <c r="I118" s="55"/>
      <c r="J118" s="15"/>
      <c r="K118" s="56"/>
    </row>
    <row r="119" spans="1:11" ht="17.25" customHeight="1">
      <c r="A119" s="51"/>
      <c r="B119" s="52"/>
      <c r="C119" s="62"/>
      <c r="D119" s="53"/>
      <c r="E119" s="54"/>
      <c r="F119" s="54"/>
      <c r="G119" s="54"/>
      <c r="H119" s="64"/>
      <c r="I119" s="55"/>
      <c r="J119" s="15"/>
      <c r="K119" s="56"/>
    </row>
    <row r="120" spans="1:11" ht="17.25" customHeight="1">
      <c r="A120" s="11"/>
      <c r="B120" s="52"/>
      <c r="C120" s="62"/>
      <c r="D120" s="53"/>
      <c r="E120" s="54"/>
      <c r="F120" s="54"/>
      <c r="G120" s="54"/>
      <c r="H120" s="64"/>
      <c r="I120" s="55"/>
      <c r="J120" s="15"/>
      <c r="K120" s="56"/>
    </row>
    <row r="121" spans="1:11" ht="17.25" customHeight="1">
      <c r="A121" s="51"/>
      <c r="B121" s="52"/>
      <c r="C121" s="62"/>
      <c r="D121" s="53"/>
      <c r="E121" s="54"/>
      <c r="F121" s="54"/>
      <c r="G121" s="54"/>
      <c r="H121" s="64"/>
      <c r="I121" s="55"/>
      <c r="J121" s="15"/>
      <c r="K121" s="56"/>
    </row>
    <row r="122" spans="1:11" ht="17.25" customHeight="1">
      <c r="A122" s="11"/>
      <c r="B122" s="52"/>
      <c r="C122" s="62"/>
      <c r="D122" s="53"/>
      <c r="E122" s="54"/>
      <c r="F122" s="54"/>
      <c r="G122" s="54"/>
      <c r="H122" s="64"/>
      <c r="I122" s="55"/>
      <c r="J122" s="15"/>
      <c r="K122" s="56"/>
    </row>
    <row r="123" spans="1:11" ht="17.25" customHeight="1">
      <c r="A123" s="51"/>
      <c r="B123" s="52"/>
      <c r="C123" s="62"/>
      <c r="D123" s="53"/>
      <c r="E123" s="54"/>
      <c r="F123" s="54"/>
      <c r="G123" s="54"/>
      <c r="H123" s="64"/>
      <c r="I123" s="55"/>
      <c r="J123" s="15"/>
      <c r="K123" s="56"/>
    </row>
    <row r="124" spans="1:11" ht="17.25" customHeight="1">
      <c r="A124" s="11"/>
      <c r="B124" s="52"/>
      <c r="C124" s="62"/>
      <c r="D124" s="53"/>
      <c r="E124" s="54"/>
      <c r="F124" s="54"/>
      <c r="G124" s="54"/>
      <c r="H124" s="64"/>
      <c r="I124" s="55"/>
      <c r="J124" s="15"/>
      <c r="K124" s="56"/>
    </row>
    <row r="125" spans="1:11" ht="17.25" customHeight="1">
      <c r="A125" s="51"/>
      <c r="B125" s="52"/>
      <c r="C125" s="62"/>
      <c r="D125" s="53"/>
      <c r="E125" s="54"/>
      <c r="F125" s="54"/>
      <c r="G125" s="54"/>
      <c r="H125" s="64"/>
      <c r="I125" s="55"/>
      <c r="J125" s="15"/>
      <c r="K125" s="56"/>
    </row>
    <row r="126" spans="1:11" ht="17.25" customHeight="1">
      <c r="A126" s="11"/>
      <c r="B126" s="52"/>
      <c r="C126" s="62"/>
      <c r="D126" s="53"/>
      <c r="E126" s="54"/>
      <c r="F126" s="54"/>
      <c r="G126" s="54"/>
      <c r="H126" s="64"/>
      <c r="I126" s="55"/>
      <c r="J126" s="15"/>
      <c r="K126" s="56"/>
    </row>
    <row r="127" spans="1:11" ht="17.25" customHeight="1">
      <c r="A127" s="51"/>
      <c r="B127" s="52"/>
      <c r="C127" s="62"/>
      <c r="D127" s="53"/>
      <c r="E127" s="54"/>
      <c r="F127" s="54"/>
      <c r="G127" s="54"/>
      <c r="H127" s="64"/>
      <c r="I127" s="55"/>
      <c r="J127" s="15"/>
      <c r="K127" s="56"/>
    </row>
    <row r="128" spans="1:11" ht="17.25" customHeight="1">
      <c r="A128" s="11"/>
      <c r="B128" s="52"/>
      <c r="C128" s="62"/>
      <c r="D128" s="53"/>
      <c r="E128" s="54"/>
      <c r="F128" s="54"/>
      <c r="G128" s="54"/>
      <c r="H128" s="64"/>
      <c r="I128" s="55"/>
      <c r="J128" s="15"/>
      <c r="K128" s="56"/>
    </row>
    <row r="129" spans="1:11" ht="17.25" customHeight="1">
      <c r="A129" s="51"/>
      <c r="B129" s="52"/>
      <c r="C129" s="62"/>
      <c r="D129" s="53"/>
      <c r="E129" s="54"/>
      <c r="F129" s="54"/>
      <c r="G129" s="54"/>
      <c r="H129" s="64"/>
      <c r="I129" s="55"/>
      <c r="J129" s="15"/>
      <c r="K129" s="56"/>
    </row>
    <row r="130" spans="1:11" ht="17.25" customHeight="1">
      <c r="A130" s="11"/>
      <c r="B130" s="52"/>
      <c r="C130" s="62"/>
      <c r="D130" s="53"/>
      <c r="E130" s="54"/>
      <c r="F130" s="54"/>
      <c r="G130" s="54"/>
      <c r="H130" s="64"/>
      <c r="I130" s="55"/>
      <c r="J130" s="15"/>
      <c r="K130" s="56"/>
    </row>
    <row r="131" spans="1:11" ht="17.25" customHeight="1">
      <c r="A131" s="51"/>
      <c r="B131" s="52"/>
      <c r="C131" s="62"/>
      <c r="D131" s="53"/>
      <c r="E131" s="54"/>
      <c r="F131" s="54"/>
      <c r="G131" s="54"/>
      <c r="H131" s="64"/>
      <c r="I131" s="55"/>
      <c r="J131" s="15"/>
      <c r="K131" s="56"/>
    </row>
    <row r="132" spans="1:11" ht="17.25" customHeight="1">
      <c r="A132" s="11"/>
      <c r="B132" s="52"/>
      <c r="C132" s="62"/>
      <c r="D132" s="53"/>
      <c r="E132" s="54"/>
      <c r="F132" s="54"/>
      <c r="G132" s="54"/>
      <c r="H132" s="64"/>
      <c r="I132" s="55"/>
      <c r="J132" s="15"/>
      <c r="K132" s="56"/>
    </row>
    <row r="133" spans="1:11" ht="17.25" customHeight="1">
      <c r="A133" s="51"/>
      <c r="B133" s="52"/>
      <c r="C133" s="62"/>
      <c r="D133" s="53"/>
      <c r="E133" s="54"/>
      <c r="F133" s="54"/>
      <c r="G133" s="54"/>
      <c r="H133" s="64"/>
      <c r="I133" s="55"/>
      <c r="J133" s="15"/>
      <c r="K133" s="56"/>
    </row>
    <row r="134" spans="1:11" ht="17.25" customHeight="1">
      <c r="A134" s="11"/>
      <c r="B134" s="52"/>
      <c r="C134" s="62"/>
      <c r="D134" s="53"/>
      <c r="E134" s="54"/>
      <c r="F134" s="54"/>
      <c r="G134" s="54"/>
      <c r="H134" s="64"/>
      <c r="I134" s="55"/>
      <c r="J134" s="15"/>
      <c r="K134" s="56"/>
    </row>
    <row r="135" spans="1:11" ht="17.25" customHeight="1">
      <c r="A135" s="51"/>
      <c r="B135" s="52"/>
      <c r="C135" s="62"/>
      <c r="D135" s="53"/>
      <c r="E135" s="54"/>
      <c r="F135" s="54"/>
      <c r="G135" s="54"/>
      <c r="H135" s="64"/>
      <c r="I135" s="55"/>
      <c r="J135" s="15"/>
      <c r="K135" s="56"/>
    </row>
    <row r="136" spans="1:11" ht="17.25" customHeight="1">
      <c r="A136" s="11"/>
      <c r="B136" s="52"/>
      <c r="C136" s="62"/>
      <c r="D136" s="53"/>
      <c r="E136" s="54"/>
      <c r="F136" s="54"/>
      <c r="G136" s="54"/>
      <c r="H136" s="64"/>
      <c r="I136" s="55"/>
      <c r="J136" s="15"/>
      <c r="K136" s="56"/>
    </row>
    <row r="137" spans="1:11" ht="17.25" customHeight="1">
      <c r="A137" s="51"/>
      <c r="B137" s="52"/>
      <c r="C137" s="62"/>
      <c r="D137" s="53"/>
      <c r="E137" s="54"/>
      <c r="F137" s="54"/>
      <c r="G137" s="54"/>
      <c r="H137" s="64"/>
      <c r="I137" s="55"/>
      <c r="J137" s="15"/>
      <c r="K137" s="56"/>
    </row>
    <row r="138" spans="1:11" ht="17.25" customHeight="1">
      <c r="A138" s="11"/>
      <c r="B138" s="52"/>
      <c r="C138" s="62"/>
      <c r="D138" s="53"/>
      <c r="E138" s="54"/>
      <c r="F138" s="54"/>
      <c r="G138" s="54"/>
      <c r="H138" s="64"/>
      <c r="I138" s="55"/>
      <c r="J138" s="15"/>
      <c r="K138" s="56"/>
    </row>
    <row r="139" spans="1:11" ht="17.25" customHeight="1">
      <c r="A139" s="51"/>
      <c r="B139" s="52"/>
      <c r="C139" s="62"/>
      <c r="D139" s="53"/>
      <c r="E139" s="54"/>
      <c r="F139" s="54"/>
      <c r="G139" s="54"/>
      <c r="H139" s="64"/>
      <c r="I139" s="55"/>
      <c r="J139" s="15"/>
      <c r="K139" s="56"/>
    </row>
    <row r="140" spans="1:11" ht="17.25" customHeight="1">
      <c r="A140" s="11"/>
      <c r="B140" s="52"/>
      <c r="C140" s="62"/>
      <c r="D140" s="53"/>
      <c r="E140" s="54"/>
      <c r="F140" s="54"/>
      <c r="G140" s="54"/>
      <c r="H140" s="64"/>
      <c r="I140" s="55"/>
      <c r="J140" s="15"/>
      <c r="K140" s="56"/>
    </row>
    <row r="141" spans="1:11" ht="17.25" customHeight="1">
      <c r="A141" s="51"/>
      <c r="B141" s="52"/>
      <c r="C141" s="62"/>
      <c r="D141" s="53"/>
      <c r="E141" s="54"/>
      <c r="F141" s="54"/>
      <c r="G141" s="54"/>
      <c r="H141" s="64"/>
      <c r="I141" s="55"/>
      <c r="J141" s="15"/>
      <c r="K141" s="56"/>
    </row>
    <row r="142" spans="1:11" ht="17.25" customHeight="1">
      <c r="A142" s="11"/>
      <c r="B142" s="52"/>
      <c r="C142" s="62"/>
      <c r="D142" s="53"/>
      <c r="E142" s="54"/>
      <c r="F142" s="54"/>
      <c r="G142" s="54"/>
      <c r="H142" s="64"/>
      <c r="I142" s="55"/>
      <c r="J142" s="15"/>
      <c r="K142" s="56"/>
    </row>
    <row r="143" spans="1:11" ht="17.25" customHeight="1">
      <c r="A143" s="51"/>
      <c r="B143" s="52"/>
      <c r="C143" s="62"/>
      <c r="D143" s="53"/>
      <c r="E143" s="54"/>
      <c r="F143" s="54"/>
      <c r="G143" s="54"/>
      <c r="H143" s="64"/>
      <c r="I143" s="55"/>
      <c r="J143" s="15"/>
      <c r="K143" s="56"/>
    </row>
    <row r="144" spans="1:11" ht="17.25" customHeight="1">
      <c r="A144" s="11"/>
      <c r="B144" s="52"/>
      <c r="C144" s="62"/>
      <c r="D144" s="53"/>
      <c r="E144" s="54"/>
      <c r="F144" s="54"/>
      <c r="G144" s="54"/>
      <c r="H144" s="64"/>
      <c r="I144" s="55"/>
      <c r="J144" s="15"/>
      <c r="K144" s="56"/>
    </row>
    <row r="145" spans="1:11" ht="17.25" customHeight="1">
      <c r="A145" s="51"/>
      <c r="B145" s="52"/>
      <c r="C145" s="62"/>
      <c r="D145" s="53"/>
      <c r="E145" s="54"/>
      <c r="F145" s="54"/>
      <c r="G145" s="54"/>
      <c r="H145" s="64"/>
      <c r="I145" s="55"/>
      <c r="J145" s="15"/>
      <c r="K145" s="56"/>
    </row>
    <row r="146" spans="1:11" ht="17.25" customHeight="1">
      <c r="A146" s="11"/>
      <c r="B146" s="52"/>
      <c r="C146" s="62"/>
      <c r="D146" s="53"/>
      <c r="E146" s="54"/>
      <c r="F146" s="54"/>
      <c r="G146" s="54"/>
      <c r="H146" s="64"/>
      <c r="I146" s="55"/>
      <c r="J146" s="15"/>
      <c r="K146" s="56"/>
    </row>
    <row r="147" spans="1:11" ht="17.25" customHeight="1">
      <c r="A147" s="51"/>
      <c r="B147" s="52"/>
      <c r="C147" s="62"/>
      <c r="D147" s="53"/>
      <c r="E147" s="54"/>
      <c r="F147" s="54"/>
      <c r="G147" s="54"/>
      <c r="H147" s="64"/>
      <c r="I147" s="55"/>
      <c r="J147" s="15"/>
      <c r="K147" s="56"/>
    </row>
    <row r="148" spans="1:11" ht="17.25" customHeight="1">
      <c r="A148" s="11"/>
      <c r="B148" s="52"/>
      <c r="C148" s="62"/>
      <c r="D148" s="53"/>
      <c r="E148" s="54"/>
      <c r="F148" s="54"/>
      <c r="G148" s="54"/>
      <c r="H148" s="64"/>
      <c r="I148" s="55"/>
      <c r="J148" s="15"/>
      <c r="K148" s="56"/>
    </row>
    <row r="149" spans="1:11" ht="17.25" customHeight="1">
      <c r="A149" s="51"/>
      <c r="B149" s="52"/>
      <c r="C149" s="62"/>
      <c r="D149" s="53"/>
      <c r="E149" s="54"/>
      <c r="F149" s="54"/>
      <c r="G149" s="54"/>
      <c r="H149" s="64"/>
      <c r="I149" s="55"/>
      <c r="J149" s="15"/>
      <c r="K149" s="56"/>
    </row>
    <row r="150" spans="1:11" ht="17.25" customHeight="1">
      <c r="A150" s="11"/>
      <c r="B150" s="52"/>
      <c r="C150" s="62"/>
      <c r="D150" s="53"/>
      <c r="E150" s="54"/>
      <c r="F150" s="54"/>
      <c r="G150" s="54"/>
      <c r="H150" s="64"/>
      <c r="I150" s="55"/>
      <c r="J150" s="15"/>
      <c r="K150" s="56"/>
    </row>
    <row r="151" spans="1:11" ht="17.25" customHeight="1">
      <c r="A151" s="51"/>
      <c r="B151" s="52"/>
      <c r="C151" s="62"/>
      <c r="D151" s="53"/>
      <c r="E151" s="54"/>
      <c r="F151" s="54"/>
      <c r="G151" s="54"/>
      <c r="H151" s="64"/>
      <c r="I151" s="55"/>
      <c r="J151" s="15"/>
      <c r="K151" s="56"/>
    </row>
    <row r="152" spans="1:11" ht="17.25" customHeight="1">
      <c r="A152" s="11"/>
      <c r="B152" s="52"/>
      <c r="C152" s="62"/>
      <c r="D152" s="53"/>
      <c r="E152" s="54"/>
      <c r="F152" s="54"/>
      <c r="G152" s="54"/>
      <c r="H152" s="64"/>
      <c r="I152" s="55"/>
      <c r="J152" s="15"/>
      <c r="K152" s="56"/>
    </row>
    <row r="153" spans="1:11" ht="17.25" customHeight="1">
      <c r="A153" s="51"/>
      <c r="B153" s="52"/>
      <c r="C153" s="62"/>
      <c r="D153" s="53"/>
      <c r="E153" s="54"/>
      <c r="F153" s="54"/>
      <c r="G153" s="54"/>
      <c r="H153" s="64"/>
      <c r="I153" s="55"/>
      <c r="J153" s="15"/>
      <c r="K153" s="56"/>
    </row>
    <row r="154" spans="1:11" ht="17.25" customHeight="1">
      <c r="A154" s="11"/>
      <c r="B154" s="52"/>
      <c r="C154" s="62"/>
      <c r="D154" s="53"/>
      <c r="E154" s="54"/>
      <c r="F154" s="54"/>
      <c r="G154" s="54"/>
      <c r="H154" s="64"/>
      <c r="I154" s="55"/>
      <c r="J154" s="15"/>
      <c r="K154" s="56"/>
    </row>
    <row r="155" spans="1:11" ht="17.25" customHeight="1">
      <c r="A155" s="51"/>
      <c r="B155" s="52"/>
      <c r="C155" s="62"/>
      <c r="D155" s="53"/>
      <c r="E155" s="54"/>
      <c r="F155" s="54"/>
      <c r="G155" s="54"/>
      <c r="H155" s="64"/>
      <c r="I155" s="55"/>
      <c r="J155" s="15"/>
      <c r="K155" s="56"/>
    </row>
    <row r="156" spans="1:11" ht="17.25" customHeight="1">
      <c r="A156" s="11"/>
      <c r="B156" s="52"/>
      <c r="C156" s="62"/>
      <c r="D156" s="53"/>
      <c r="E156" s="54"/>
      <c r="F156" s="54"/>
      <c r="G156" s="54"/>
      <c r="H156" s="64"/>
      <c r="I156" s="55"/>
      <c r="J156" s="15"/>
      <c r="K156" s="56"/>
    </row>
    <row r="157" spans="1:11" ht="17.25" customHeight="1">
      <c r="A157" s="51"/>
      <c r="B157" s="52"/>
      <c r="C157" s="62"/>
      <c r="D157" s="53"/>
      <c r="E157" s="54"/>
      <c r="F157" s="54"/>
      <c r="G157" s="54"/>
      <c r="H157" s="64"/>
      <c r="I157" s="55"/>
      <c r="J157" s="15"/>
      <c r="K157" s="56"/>
    </row>
    <row r="158" spans="1:11" ht="17.25" customHeight="1">
      <c r="A158" s="11"/>
      <c r="B158" s="52"/>
      <c r="C158" s="62"/>
      <c r="D158" s="53"/>
      <c r="E158" s="54"/>
      <c r="F158" s="54"/>
      <c r="G158" s="54"/>
      <c r="H158" s="64"/>
      <c r="I158" s="55"/>
      <c r="J158" s="15"/>
      <c r="K158" s="56"/>
    </row>
    <row r="159" spans="1:11" ht="17.25" customHeight="1">
      <c r="A159" s="51"/>
      <c r="B159" s="52"/>
      <c r="C159" s="62"/>
      <c r="D159" s="53"/>
      <c r="E159" s="54"/>
      <c r="F159" s="54"/>
      <c r="G159" s="54"/>
      <c r="H159" s="64"/>
      <c r="I159" s="55"/>
      <c r="J159" s="15"/>
      <c r="K159" s="56"/>
    </row>
    <row r="160" spans="1:11" ht="17.25" customHeight="1">
      <c r="A160" s="11"/>
      <c r="B160" s="52"/>
      <c r="C160" s="62"/>
      <c r="D160" s="53"/>
      <c r="E160" s="54"/>
      <c r="F160" s="54"/>
      <c r="G160" s="54"/>
      <c r="H160" s="64"/>
      <c r="I160" s="55"/>
      <c r="J160" s="15"/>
      <c r="K160" s="56"/>
    </row>
    <row r="161" spans="1:11" ht="17.25" customHeight="1">
      <c r="A161" s="51"/>
      <c r="B161" s="52"/>
      <c r="C161" s="62"/>
      <c r="D161" s="53"/>
      <c r="E161" s="54"/>
      <c r="F161" s="54"/>
      <c r="G161" s="54"/>
      <c r="H161" s="64"/>
      <c r="I161" s="55"/>
      <c r="J161" s="15"/>
      <c r="K161" s="56"/>
    </row>
    <row r="162" spans="1:11" ht="17.25" customHeight="1">
      <c r="A162" s="11"/>
      <c r="B162" s="52"/>
      <c r="C162" s="62"/>
      <c r="D162" s="53"/>
      <c r="E162" s="54"/>
      <c r="F162" s="54"/>
      <c r="G162" s="54"/>
      <c r="H162" s="64"/>
      <c r="I162" s="55"/>
      <c r="J162" s="15"/>
      <c r="K162" s="56"/>
    </row>
    <row r="163" spans="1:11" ht="17.25" customHeight="1">
      <c r="A163" s="51"/>
      <c r="B163" s="52"/>
      <c r="C163" s="62"/>
      <c r="D163" s="53"/>
      <c r="E163" s="54"/>
      <c r="F163" s="54"/>
      <c r="G163" s="54"/>
      <c r="H163" s="64"/>
      <c r="I163" s="55"/>
      <c r="J163" s="15"/>
      <c r="K163" s="56"/>
    </row>
    <row r="164" spans="1:11" ht="17.25" customHeight="1">
      <c r="A164" s="11"/>
      <c r="B164" s="52"/>
      <c r="C164" s="62"/>
      <c r="D164" s="53"/>
      <c r="E164" s="54"/>
      <c r="F164" s="54"/>
      <c r="G164" s="54"/>
      <c r="H164" s="64"/>
      <c r="I164" s="55"/>
      <c r="J164" s="15"/>
      <c r="K164" s="56"/>
    </row>
    <row r="165" spans="1:11" ht="17.25" customHeight="1">
      <c r="A165" s="51"/>
      <c r="B165" s="52"/>
      <c r="C165" s="62"/>
      <c r="D165" s="53"/>
      <c r="E165" s="54"/>
      <c r="F165" s="54"/>
      <c r="G165" s="54"/>
      <c r="H165" s="64"/>
      <c r="I165" s="55"/>
      <c r="J165" s="15"/>
      <c r="K165" s="56"/>
    </row>
    <row r="166" spans="1:11" ht="17.25" customHeight="1">
      <c r="A166" s="11"/>
      <c r="B166" s="52"/>
      <c r="C166" s="62"/>
      <c r="D166" s="53"/>
      <c r="E166" s="54"/>
      <c r="F166" s="54"/>
      <c r="G166" s="54"/>
      <c r="H166" s="64"/>
      <c r="I166" s="55"/>
      <c r="J166" s="15"/>
      <c r="K166" s="56"/>
    </row>
    <row r="167" spans="1:11" ht="17.25" customHeight="1">
      <c r="A167" s="51"/>
      <c r="B167" s="52"/>
      <c r="C167" s="62"/>
      <c r="D167" s="53"/>
      <c r="E167" s="54"/>
      <c r="F167" s="54"/>
      <c r="G167" s="54"/>
      <c r="H167" s="64"/>
      <c r="I167" s="55"/>
      <c r="J167" s="15"/>
      <c r="K167" s="56"/>
    </row>
    <row r="168" spans="1:11" ht="17.25" customHeight="1">
      <c r="A168" s="11"/>
      <c r="B168" s="52"/>
      <c r="C168" s="62"/>
      <c r="D168" s="53"/>
      <c r="E168" s="54"/>
      <c r="F168" s="54"/>
      <c r="G168" s="54"/>
      <c r="H168" s="64"/>
      <c r="I168" s="55"/>
      <c r="J168" s="15"/>
      <c r="K168" s="56"/>
    </row>
    <row r="169" spans="1:11" ht="17.25" customHeight="1">
      <c r="A169" s="51"/>
      <c r="B169" s="52"/>
      <c r="C169" s="62"/>
      <c r="D169" s="53"/>
      <c r="E169" s="54"/>
      <c r="F169" s="54"/>
      <c r="G169" s="54"/>
      <c r="H169" s="64"/>
      <c r="I169" s="55"/>
      <c r="J169" s="15"/>
      <c r="K169" s="56"/>
    </row>
    <row r="170" spans="1:11" ht="17.25" customHeight="1">
      <c r="A170" s="11"/>
      <c r="B170" s="52"/>
      <c r="C170" s="62"/>
      <c r="D170" s="53"/>
      <c r="E170" s="54"/>
      <c r="F170" s="54"/>
      <c r="G170" s="54"/>
      <c r="H170" s="64"/>
      <c r="I170" s="55"/>
      <c r="J170" s="15"/>
      <c r="K170" s="56"/>
    </row>
    <row r="171" spans="1:11" ht="17.25" customHeight="1">
      <c r="A171" s="51"/>
      <c r="B171" s="52"/>
      <c r="C171" s="62"/>
      <c r="D171" s="53"/>
      <c r="E171" s="54"/>
      <c r="F171" s="54"/>
      <c r="G171" s="54"/>
      <c r="H171" s="64"/>
      <c r="I171" s="55"/>
      <c r="J171" s="15"/>
      <c r="K171" s="56"/>
    </row>
    <row r="172" spans="1:11" ht="17.25" customHeight="1">
      <c r="A172" s="11"/>
      <c r="B172" s="52"/>
      <c r="C172" s="62"/>
      <c r="D172" s="53"/>
      <c r="E172" s="54"/>
      <c r="F172" s="54"/>
      <c r="G172" s="54"/>
      <c r="H172" s="64"/>
      <c r="I172" s="55"/>
      <c r="J172" s="15"/>
      <c r="K172" s="56"/>
    </row>
    <row r="173" spans="1:11" ht="17.25" customHeight="1">
      <c r="A173" s="51"/>
      <c r="B173" s="52"/>
      <c r="C173" s="62"/>
      <c r="D173" s="53"/>
      <c r="E173" s="54"/>
      <c r="F173" s="54"/>
      <c r="G173" s="54"/>
      <c r="H173" s="64"/>
      <c r="I173" s="55"/>
      <c r="J173" s="15"/>
      <c r="K173" s="56"/>
    </row>
    <row r="174" spans="1:11" ht="17.25" customHeight="1">
      <c r="A174" s="11"/>
      <c r="B174" s="52"/>
      <c r="C174" s="62"/>
      <c r="D174" s="53"/>
      <c r="E174" s="54"/>
      <c r="F174" s="54"/>
      <c r="G174" s="54"/>
      <c r="H174" s="64"/>
      <c r="I174" s="55"/>
      <c r="J174" s="15"/>
      <c r="K174" s="56"/>
    </row>
    <row r="175" spans="1:11" ht="17.25" customHeight="1">
      <c r="A175" s="51"/>
      <c r="B175" s="52"/>
      <c r="C175" s="62"/>
      <c r="D175" s="53"/>
      <c r="E175" s="54"/>
      <c r="F175" s="54"/>
      <c r="G175" s="54"/>
      <c r="H175" s="64"/>
      <c r="I175" s="55"/>
      <c r="J175" s="15"/>
      <c r="K175" s="56"/>
    </row>
    <row r="176" spans="1:11" ht="17.25" customHeight="1">
      <c r="A176" s="11"/>
      <c r="B176" s="52"/>
      <c r="C176" s="62"/>
      <c r="D176" s="53"/>
      <c r="E176" s="54"/>
      <c r="F176" s="54"/>
      <c r="G176" s="54"/>
      <c r="H176" s="64"/>
      <c r="I176" s="55"/>
      <c r="J176" s="15"/>
      <c r="K176" s="56"/>
    </row>
    <row r="177" spans="1:11" ht="17.25" customHeight="1">
      <c r="A177" s="51"/>
      <c r="B177" s="52"/>
      <c r="C177" s="62"/>
      <c r="D177" s="53"/>
      <c r="E177" s="54"/>
      <c r="F177" s="54"/>
      <c r="G177" s="54"/>
      <c r="H177" s="64"/>
      <c r="I177" s="55"/>
      <c r="J177" s="15"/>
      <c r="K177" s="56"/>
    </row>
    <row r="178" spans="1:11" ht="17.25" customHeight="1">
      <c r="A178" s="11"/>
      <c r="B178" s="52"/>
      <c r="C178" s="62"/>
      <c r="D178" s="53"/>
      <c r="E178" s="54"/>
      <c r="F178" s="54"/>
      <c r="G178" s="54"/>
      <c r="H178" s="64"/>
      <c r="I178" s="55"/>
      <c r="J178" s="15"/>
      <c r="K178" s="56"/>
    </row>
    <row r="179" spans="1:11" ht="17.25" customHeight="1">
      <c r="A179" s="51"/>
      <c r="B179" s="52"/>
      <c r="C179" s="62"/>
      <c r="D179" s="53"/>
      <c r="E179" s="54"/>
      <c r="F179" s="54"/>
      <c r="G179" s="54"/>
      <c r="H179" s="64"/>
      <c r="I179" s="55"/>
      <c r="J179" s="15"/>
      <c r="K179" s="56"/>
    </row>
    <row r="180" spans="1:11" ht="17.25" customHeight="1">
      <c r="A180" s="11"/>
      <c r="B180" s="52"/>
      <c r="C180" s="62"/>
      <c r="D180" s="53"/>
      <c r="E180" s="54"/>
      <c r="F180" s="54"/>
      <c r="G180" s="54"/>
      <c r="H180" s="64"/>
      <c r="I180" s="55"/>
      <c r="J180" s="15"/>
      <c r="K180" s="56"/>
    </row>
    <row r="181" spans="1:11" ht="17.25" customHeight="1">
      <c r="A181" s="51"/>
      <c r="B181" s="52"/>
      <c r="C181" s="62"/>
      <c r="D181" s="53"/>
      <c r="E181" s="54"/>
      <c r="F181" s="54"/>
      <c r="G181" s="54"/>
      <c r="H181" s="64"/>
      <c r="I181" s="55"/>
      <c r="J181" s="15"/>
      <c r="K181" s="56"/>
    </row>
    <row r="182" spans="1:11" ht="17.25" customHeight="1">
      <c r="A182" s="11"/>
      <c r="B182" s="52"/>
      <c r="C182" s="62"/>
      <c r="D182" s="53"/>
      <c r="E182" s="54"/>
      <c r="F182" s="54"/>
      <c r="G182" s="54"/>
      <c r="H182" s="64"/>
      <c r="I182" s="55"/>
      <c r="J182" s="15"/>
      <c r="K182" s="56"/>
    </row>
    <row r="183" spans="1:11" ht="17.25" customHeight="1">
      <c r="A183" s="51"/>
      <c r="B183" s="52"/>
      <c r="C183" s="62"/>
      <c r="D183" s="53"/>
      <c r="E183" s="54"/>
      <c r="F183" s="54"/>
      <c r="G183" s="54"/>
      <c r="H183" s="64"/>
      <c r="I183" s="55"/>
      <c r="J183" s="15"/>
      <c r="K183" s="56"/>
    </row>
    <row r="184" spans="1:11" ht="17.25" customHeight="1">
      <c r="A184" s="11"/>
      <c r="B184" s="52"/>
      <c r="C184" s="62"/>
      <c r="D184" s="53"/>
      <c r="E184" s="54"/>
      <c r="F184" s="54"/>
      <c r="G184" s="54"/>
      <c r="H184" s="64"/>
      <c r="I184" s="55"/>
      <c r="J184" s="15"/>
      <c r="K184" s="56"/>
    </row>
    <row r="185" spans="1:11" ht="17.25" customHeight="1">
      <c r="A185" s="51"/>
      <c r="B185" s="52"/>
      <c r="C185" s="62"/>
      <c r="D185" s="53"/>
      <c r="E185" s="54"/>
      <c r="F185" s="54"/>
      <c r="G185" s="54"/>
      <c r="H185" s="64"/>
      <c r="I185" s="55"/>
      <c r="J185" s="15"/>
      <c r="K185" s="56"/>
    </row>
    <row r="186" spans="1:11" ht="17.25" customHeight="1">
      <c r="A186" s="11"/>
      <c r="B186" s="52"/>
      <c r="C186" s="62"/>
      <c r="D186" s="53"/>
      <c r="E186" s="54"/>
      <c r="F186" s="54"/>
      <c r="G186" s="54"/>
      <c r="H186" s="64"/>
      <c r="I186" s="55"/>
      <c r="J186" s="15"/>
      <c r="K186" s="56"/>
    </row>
    <row r="187" spans="1:11" ht="17.25" customHeight="1">
      <c r="A187" s="51"/>
      <c r="B187" s="52"/>
      <c r="C187" s="62"/>
      <c r="D187" s="53"/>
      <c r="E187" s="54"/>
      <c r="F187" s="54"/>
      <c r="G187" s="54"/>
      <c r="H187" s="64"/>
      <c r="I187" s="55"/>
      <c r="J187" s="15"/>
      <c r="K187" s="56"/>
    </row>
    <row r="188" spans="1:11" ht="17.25" customHeight="1">
      <c r="A188" s="11"/>
      <c r="B188" s="52"/>
      <c r="C188" s="62"/>
      <c r="D188" s="53"/>
      <c r="E188" s="54"/>
      <c r="F188" s="54"/>
      <c r="G188" s="54"/>
      <c r="H188" s="64"/>
      <c r="I188" s="55"/>
      <c r="J188" s="15"/>
      <c r="K188" s="56"/>
    </row>
    <row r="189" spans="1:11" ht="17.25" customHeight="1">
      <c r="A189" s="51"/>
      <c r="B189" s="52"/>
      <c r="C189" s="62"/>
      <c r="D189" s="53"/>
      <c r="E189" s="54"/>
      <c r="F189" s="54"/>
      <c r="G189" s="54"/>
      <c r="H189" s="64"/>
      <c r="I189" s="55"/>
      <c r="J189" s="15"/>
      <c r="K189" s="56"/>
    </row>
    <row r="190" spans="1:11" ht="17.25" customHeight="1">
      <c r="A190" s="11"/>
      <c r="B190" s="52"/>
      <c r="C190" s="62"/>
      <c r="D190" s="53"/>
      <c r="E190" s="54"/>
      <c r="F190" s="54"/>
      <c r="G190" s="54"/>
      <c r="H190" s="64"/>
      <c r="I190" s="55"/>
      <c r="J190" s="15"/>
      <c r="K190" s="56"/>
    </row>
    <row r="191" spans="1:11" ht="17.25" customHeight="1">
      <c r="A191" s="51"/>
      <c r="B191" s="52"/>
      <c r="C191" s="62"/>
      <c r="D191" s="53"/>
      <c r="E191" s="54"/>
      <c r="F191" s="54"/>
      <c r="G191" s="54"/>
      <c r="H191" s="64"/>
      <c r="I191" s="55"/>
      <c r="J191" s="15"/>
      <c r="K191" s="56"/>
    </row>
    <row r="192" spans="1:11" ht="17.25" customHeight="1">
      <c r="A192" s="11"/>
      <c r="B192" s="52"/>
      <c r="C192" s="62"/>
      <c r="D192" s="53"/>
      <c r="E192" s="54"/>
      <c r="F192" s="54"/>
      <c r="G192" s="54"/>
      <c r="H192" s="64"/>
      <c r="I192" s="55"/>
      <c r="J192" s="15"/>
      <c r="K192" s="56"/>
    </row>
    <row r="193" spans="1:11" ht="17.25" customHeight="1">
      <c r="A193" s="51"/>
      <c r="B193" s="52"/>
      <c r="C193" s="62"/>
      <c r="D193" s="53"/>
      <c r="E193" s="54"/>
      <c r="F193" s="54"/>
      <c r="G193" s="54"/>
      <c r="H193" s="64"/>
      <c r="I193" s="55"/>
      <c r="J193" s="15"/>
      <c r="K193" s="56"/>
    </row>
  </sheetData>
  <autoFilter ref="A4:K186"/>
  <mergeCells count="11">
    <mergeCell ref="F1:F2"/>
    <mergeCell ref="A1:A2"/>
    <mergeCell ref="B1:B2"/>
    <mergeCell ref="C1:C2"/>
    <mergeCell ref="D1:D2"/>
    <mergeCell ref="E1:E2"/>
    <mergeCell ref="G1:G2"/>
    <mergeCell ref="H1:H2"/>
    <mergeCell ref="I1:I2"/>
    <mergeCell ref="J1:J2"/>
    <mergeCell ref="K1:K2"/>
  </mergeCells>
  <conditionalFormatting sqref="C184">
    <cfRule type="duplicateValues" dxfId="190" priority="138" stopIfTrue="1"/>
    <cfRule type="duplicateValues" dxfId="189" priority="139" stopIfTrue="1"/>
  </conditionalFormatting>
  <conditionalFormatting sqref="B77">
    <cfRule type="duplicateValues" dxfId="188" priority="137"/>
  </conditionalFormatting>
  <conditionalFormatting sqref="B77">
    <cfRule type="duplicateValues" dxfId="187" priority="135"/>
    <cfRule type="duplicateValues" dxfId="186" priority="136"/>
  </conditionalFormatting>
  <conditionalFormatting sqref="B115">
    <cfRule type="duplicateValues" dxfId="185" priority="134"/>
  </conditionalFormatting>
  <conditionalFormatting sqref="B115">
    <cfRule type="duplicateValues" dxfId="184" priority="132"/>
    <cfRule type="duplicateValues" dxfId="183" priority="133"/>
  </conditionalFormatting>
  <conditionalFormatting sqref="B154">
    <cfRule type="duplicateValues" dxfId="182" priority="131"/>
  </conditionalFormatting>
  <conditionalFormatting sqref="B154">
    <cfRule type="duplicateValues" dxfId="181" priority="129"/>
    <cfRule type="duplicateValues" dxfId="180" priority="130"/>
  </conditionalFormatting>
  <conditionalFormatting sqref="B95">
    <cfRule type="duplicateValues" dxfId="179" priority="128"/>
  </conditionalFormatting>
  <conditionalFormatting sqref="B95">
    <cfRule type="duplicateValues" dxfId="178" priority="126"/>
    <cfRule type="duplicateValues" dxfId="177" priority="127"/>
  </conditionalFormatting>
  <conditionalFormatting sqref="B137">
    <cfRule type="duplicateValues" dxfId="176" priority="125"/>
  </conditionalFormatting>
  <conditionalFormatting sqref="B137">
    <cfRule type="duplicateValues" dxfId="175" priority="123"/>
    <cfRule type="duplicateValues" dxfId="174" priority="124"/>
  </conditionalFormatting>
  <conditionalFormatting sqref="B162">
    <cfRule type="duplicateValues" dxfId="173" priority="121"/>
    <cfRule type="duplicateValues" dxfId="172" priority="122"/>
  </conditionalFormatting>
  <conditionalFormatting sqref="B166">
    <cfRule type="duplicateValues" dxfId="171" priority="120"/>
  </conditionalFormatting>
  <conditionalFormatting sqref="B166">
    <cfRule type="duplicateValues" dxfId="170" priority="118"/>
    <cfRule type="duplicateValues" dxfId="169" priority="119"/>
  </conditionalFormatting>
  <conditionalFormatting sqref="B187">
    <cfRule type="duplicateValues" dxfId="168" priority="117"/>
  </conditionalFormatting>
  <conditionalFormatting sqref="B187">
    <cfRule type="duplicateValues" dxfId="167" priority="115"/>
    <cfRule type="duplicateValues" dxfId="166" priority="116"/>
  </conditionalFormatting>
  <conditionalFormatting sqref="B40:B42">
    <cfRule type="duplicateValues" dxfId="165" priority="114"/>
  </conditionalFormatting>
  <conditionalFormatting sqref="B160">
    <cfRule type="duplicateValues" dxfId="164" priority="113"/>
  </conditionalFormatting>
  <conditionalFormatting sqref="C41:C46">
    <cfRule type="duplicateValues" dxfId="163" priority="111" stopIfTrue="1"/>
    <cfRule type="duplicateValues" dxfId="162" priority="112" stopIfTrue="1"/>
  </conditionalFormatting>
  <conditionalFormatting sqref="C40">
    <cfRule type="duplicateValues" dxfId="161" priority="109" stopIfTrue="1"/>
    <cfRule type="duplicateValues" dxfId="160" priority="110" stopIfTrue="1"/>
  </conditionalFormatting>
  <conditionalFormatting sqref="B51:B53">
    <cfRule type="duplicateValues" dxfId="159" priority="108"/>
  </conditionalFormatting>
  <conditionalFormatting sqref="C51:C54">
    <cfRule type="duplicateValues" dxfId="158" priority="106" stopIfTrue="1"/>
    <cfRule type="duplicateValues" dxfId="157" priority="107" stopIfTrue="1"/>
  </conditionalFormatting>
  <conditionalFormatting sqref="C47:C50">
    <cfRule type="duplicateValues" dxfId="156" priority="104" stopIfTrue="1"/>
    <cfRule type="duplicateValues" dxfId="155" priority="105" stopIfTrue="1"/>
  </conditionalFormatting>
  <conditionalFormatting sqref="B185">
    <cfRule type="duplicateValues" dxfId="154" priority="103"/>
  </conditionalFormatting>
  <conditionalFormatting sqref="C134:C135">
    <cfRule type="duplicateValues" dxfId="153" priority="101"/>
    <cfRule type="duplicateValues" dxfId="152" priority="102"/>
  </conditionalFormatting>
  <conditionalFormatting sqref="C134:C135">
    <cfRule type="duplicateValues" dxfId="151" priority="100"/>
  </conditionalFormatting>
  <conditionalFormatting sqref="B134:C135">
    <cfRule type="duplicateValues" dxfId="150" priority="99"/>
  </conditionalFormatting>
  <conditionalFormatting sqref="B134:B135">
    <cfRule type="duplicateValues" dxfId="149" priority="98"/>
  </conditionalFormatting>
  <conditionalFormatting sqref="C61">
    <cfRule type="duplicateValues" dxfId="148" priority="96"/>
    <cfRule type="duplicateValues" dxfId="147" priority="97"/>
  </conditionalFormatting>
  <conditionalFormatting sqref="C61">
    <cfRule type="duplicateValues" dxfId="146" priority="95"/>
  </conditionalFormatting>
  <conditionalFormatting sqref="B61:C61">
    <cfRule type="duplicateValues" dxfId="145" priority="94"/>
  </conditionalFormatting>
  <conditionalFormatting sqref="B61">
    <cfRule type="duplicateValues" dxfId="144" priority="93"/>
  </conditionalFormatting>
  <conditionalFormatting sqref="C99:C118">
    <cfRule type="duplicateValues" dxfId="143" priority="91"/>
    <cfRule type="duplicateValues" dxfId="142" priority="92"/>
  </conditionalFormatting>
  <conditionalFormatting sqref="B69 B40 B42 B44 B46 B48 B50 B52 B54 B56 B58 B60 B62 B64 B66 B71 B73 B75 B77 B79 B81 B83 B85 B87 B89 B91 B93 B95 B97 B99 B101 B103 B105 B107 B109 B111 B113 B115 B117 B119 B121 B123 B125 B127 B129 B131 B133 B135 B137 B139 B141 B143 B145 B147 B149 B151 B153 B155 B157 B159 B161 B163 B165 B167 B169 B171 B173 B175 B177 B179 B181 B183 B185 B187 B189 B191 B193">
    <cfRule type="duplicateValues" dxfId="141" priority="140"/>
  </conditionalFormatting>
  <conditionalFormatting sqref="C186:C193 C119:C133 C55:C60 C136:C159 C62:C98">
    <cfRule type="duplicateValues" dxfId="140" priority="141"/>
    <cfRule type="duplicateValues" dxfId="139" priority="142"/>
  </conditionalFormatting>
  <conditionalFormatting sqref="C186:C193 C55:C60 C136:C159 C62:C133">
    <cfRule type="duplicateValues" dxfId="138" priority="143"/>
  </conditionalFormatting>
  <conditionalFormatting sqref="B78:C94 B55:C60 C77 B116:C133 C115 B155:C159 C154 B96:C114 C95 B138:C153 C137 B163:C165 C162 B167:C184 C166 B188:C193 C187 B43:B46 B161:C161 B186:C186 B136:C136 B62:C76">
    <cfRule type="duplicateValues" dxfId="137" priority="144"/>
  </conditionalFormatting>
  <conditionalFormatting sqref="B163:B165 B167:B184 B188:B193 B43:B46 B55:B60 B161 B186 B136:B159 B62:B133">
    <cfRule type="duplicateValues" dxfId="136" priority="145"/>
  </conditionalFormatting>
  <conditionalFormatting sqref="B41 B43 B45 B47 B49 B51 B53 B55 B57 B59 B61 B63 B65 B67:B68 B70 B72 B74 B76 B78 B80 B82 B84 B86 B88 B90 B92 B94 B96 B98 B100 B102 B104 B106 B108 B110 B112 B114 B116 B118 B120 B122 B124 B126 B128 B130 B132 B134 B136 B138 B140 B142 B144 B146 B148 B150 B152 B154 B156 B158 B160 B162 B164 B166 B168 B170 B172 B174 B176 B178 B180 B182 B184 B186 B188 B190 B192">
    <cfRule type="duplicateValues" dxfId="135" priority="146"/>
  </conditionalFormatting>
  <conditionalFormatting sqref="C161:C184 C55:C60 C186:C193 C136:C159 C62:C133">
    <cfRule type="duplicateValues" dxfId="134" priority="147"/>
  </conditionalFormatting>
  <conditionalFormatting sqref="C19">
    <cfRule type="duplicateValues" dxfId="133" priority="80"/>
    <cfRule type="duplicateValues" dxfId="132" priority="81"/>
  </conditionalFormatting>
  <conditionalFormatting sqref="B37">
    <cfRule type="duplicateValues" dxfId="131" priority="79"/>
  </conditionalFormatting>
  <conditionalFormatting sqref="B32">
    <cfRule type="duplicateValues" dxfId="130" priority="76"/>
  </conditionalFormatting>
  <conditionalFormatting sqref="B32">
    <cfRule type="duplicateValues" dxfId="129" priority="74"/>
    <cfRule type="duplicateValues" dxfId="128" priority="75"/>
  </conditionalFormatting>
  <conditionalFormatting sqref="C38">
    <cfRule type="duplicateValues" dxfId="127" priority="72"/>
    <cfRule type="duplicateValues" dxfId="126" priority="73"/>
  </conditionalFormatting>
  <conditionalFormatting sqref="C38">
    <cfRule type="duplicateValues" dxfId="125" priority="71"/>
  </conditionalFormatting>
  <conditionalFormatting sqref="B38:C38">
    <cfRule type="duplicateValues" dxfId="124" priority="70"/>
  </conditionalFormatting>
  <conditionalFormatting sqref="B38">
    <cfRule type="duplicateValues" dxfId="123" priority="69"/>
  </conditionalFormatting>
  <conditionalFormatting sqref="B26:C29 C22:C26">
    <cfRule type="duplicateValues" dxfId="122" priority="61"/>
  </conditionalFormatting>
  <conditionalFormatting sqref="B26:B29">
    <cfRule type="duplicateValues" dxfId="121" priority="60"/>
  </conditionalFormatting>
  <conditionalFormatting sqref="C13:C19">
    <cfRule type="duplicateValues" dxfId="120" priority="58"/>
    <cfRule type="duplicateValues" dxfId="119" priority="59"/>
  </conditionalFormatting>
  <conditionalFormatting sqref="C13:C19">
    <cfRule type="duplicateValues" dxfId="118" priority="57"/>
  </conditionalFormatting>
  <conditionalFormatting sqref="C13 B14:C19">
    <cfRule type="duplicateValues" dxfId="117" priority="56"/>
  </conditionalFormatting>
  <conditionalFormatting sqref="B14:B19">
    <cfRule type="duplicateValues" dxfId="116" priority="55"/>
  </conditionalFormatting>
  <conditionalFormatting sqref="B39">
    <cfRule type="duplicateValues" dxfId="115" priority="51"/>
  </conditionalFormatting>
  <conditionalFormatting sqref="B14">
    <cfRule type="duplicateValues" dxfId="114" priority="50"/>
  </conditionalFormatting>
  <conditionalFormatting sqref="B14">
    <cfRule type="duplicateValues" dxfId="113" priority="48"/>
    <cfRule type="duplicateValues" dxfId="112" priority="49"/>
  </conditionalFormatting>
  <conditionalFormatting sqref="B18">
    <cfRule type="duplicateValues" dxfId="111" priority="47"/>
  </conditionalFormatting>
  <conditionalFormatting sqref="B18">
    <cfRule type="duplicateValues" dxfId="110" priority="45"/>
    <cfRule type="duplicateValues" dxfId="109" priority="46"/>
  </conditionalFormatting>
  <conditionalFormatting sqref="B22">
    <cfRule type="duplicateValues" dxfId="108" priority="44"/>
  </conditionalFormatting>
  <conditionalFormatting sqref="B22">
    <cfRule type="duplicateValues" dxfId="107" priority="42"/>
    <cfRule type="duplicateValues" dxfId="106" priority="43"/>
  </conditionalFormatting>
  <conditionalFormatting sqref="B38">
    <cfRule type="duplicateValues" dxfId="105" priority="37"/>
    <cfRule type="duplicateValues" dxfId="104" priority="38"/>
  </conditionalFormatting>
  <conditionalFormatting sqref="C39 C5:C37">
    <cfRule type="duplicateValues" dxfId="103" priority="82"/>
    <cfRule type="duplicateValues" dxfId="102" priority="83"/>
  </conditionalFormatting>
  <conditionalFormatting sqref="C39 C5:C37">
    <cfRule type="duplicateValues" dxfId="101" priority="84"/>
  </conditionalFormatting>
  <conditionalFormatting sqref="B39:C39 B38 B5:C37">
    <cfRule type="duplicateValues" dxfId="100" priority="85"/>
  </conditionalFormatting>
  <conditionalFormatting sqref="C39">
    <cfRule type="duplicateValues" dxfId="99" priority="86"/>
  </conditionalFormatting>
  <conditionalFormatting sqref="C39">
    <cfRule type="duplicateValues" dxfId="98" priority="87"/>
  </conditionalFormatting>
  <conditionalFormatting sqref="C40:C193">
    <cfRule type="duplicateValues" dxfId="97" priority="148"/>
  </conditionalFormatting>
  <conditionalFormatting sqref="B40:B193">
    <cfRule type="duplicateValues" dxfId="96" priority="149"/>
  </conditionalFormatting>
  <conditionalFormatting sqref="C29:C36">
    <cfRule type="duplicateValues" dxfId="95" priority="633"/>
    <cfRule type="duplicateValues" dxfId="94" priority="634"/>
  </conditionalFormatting>
  <conditionalFormatting sqref="C29:C36">
    <cfRule type="duplicateValues" dxfId="93" priority="635"/>
  </conditionalFormatting>
  <conditionalFormatting sqref="B29:C36">
    <cfRule type="duplicateValues" dxfId="92" priority="636"/>
  </conditionalFormatting>
  <conditionalFormatting sqref="B29:B36">
    <cfRule type="duplicateValues" dxfId="91" priority="637"/>
  </conditionalFormatting>
  <conditionalFormatting sqref="B37:C37">
    <cfRule type="duplicateValues" dxfId="90" priority="850"/>
  </conditionalFormatting>
  <conditionalFormatting sqref="C37">
    <cfRule type="duplicateValues" dxfId="89" priority="863"/>
    <cfRule type="duplicateValues" dxfId="88" priority="864"/>
  </conditionalFormatting>
  <conditionalFormatting sqref="C37">
    <cfRule type="duplicateValues" dxfId="87" priority="865"/>
  </conditionalFormatting>
  <conditionalFormatting sqref="C37">
    <cfRule type="duplicateValues" dxfId="86" priority="32"/>
    <cfRule type="duplicateValues" dxfId="85" priority="33"/>
  </conditionalFormatting>
  <conditionalFormatting sqref="C37">
    <cfRule type="duplicateValues" dxfId="84" priority="34"/>
  </conditionalFormatting>
  <conditionalFormatting sqref="B37:C37">
    <cfRule type="duplicateValues" dxfId="83" priority="35"/>
  </conditionalFormatting>
  <conditionalFormatting sqref="B37">
    <cfRule type="duplicateValues" dxfId="82" priority="36"/>
  </conditionalFormatting>
  <conditionalFormatting sqref="C18">
    <cfRule type="duplicateValues" dxfId="81" priority="26"/>
    <cfRule type="duplicateValues" dxfId="80" priority="27"/>
  </conditionalFormatting>
  <conditionalFormatting sqref="B35:B36">
    <cfRule type="duplicateValues" dxfId="79" priority="25"/>
  </conditionalFormatting>
  <conditionalFormatting sqref="B31">
    <cfRule type="duplicateValues" dxfId="78" priority="24"/>
  </conditionalFormatting>
  <conditionalFormatting sqref="B31">
    <cfRule type="duplicateValues" dxfId="77" priority="22"/>
    <cfRule type="duplicateValues" dxfId="76" priority="23"/>
  </conditionalFormatting>
  <conditionalFormatting sqref="C37">
    <cfRule type="duplicateValues" dxfId="75" priority="20"/>
    <cfRule type="duplicateValues" dxfId="74" priority="21"/>
  </conditionalFormatting>
  <conditionalFormatting sqref="C37">
    <cfRule type="duplicateValues" dxfId="73" priority="19"/>
  </conditionalFormatting>
  <conditionalFormatting sqref="B37:C37">
    <cfRule type="duplicateValues" dxfId="72" priority="18"/>
  </conditionalFormatting>
  <conditionalFormatting sqref="B37">
    <cfRule type="duplicateValues" dxfId="71" priority="17"/>
  </conditionalFormatting>
  <conditionalFormatting sqref="B13">
    <cfRule type="duplicateValues" dxfId="70" priority="16"/>
  </conditionalFormatting>
  <conditionalFormatting sqref="B13">
    <cfRule type="duplicateValues" dxfId="69" priority="14"/>
    <cfRule type="duplicateValues" dxfId="68" priority="15"/>
  </conditionalFormatting>
  <conditionalFormatting sqref="B17">
    <cfRule type="duplicateValues" dxfId="67" priority="13"/>
  </conditionalFormatting>
  <conditionalFormatting sqref="B17">
    <cfRule type="duplicateValues" dxfId="66" priority="11"/>
    <cfRule type="duplicateValues" dxfId="65" priority="12"/>
  </conditionalFormatting>
  <conditionalFormatting sqref="B37">
    <cfRule type="duplicateValues" dxfId="64" priority="6"/>
    <cfRule type="duplicateValues" dxfId="63" priority="7"/>
  </conditionalFormatting>
  <conditionalFormatting sqref="B35:C36">
    <cfRule type="duplicateValues" dxfId="62" priority="28"/>
  </conditionalFormatting>
  <conditionalFormatting sqref="C35:C36">
    <cfRule type="duplicateValues" dxfId="61" priority="29"/>
    <cfRule type="duplicateValues" dxfId="60" priority="30"/>
  </conditionalFormatting>
  <conditionalFormatting sqref="C35:C36">
    <cfRule type="duplicateValues" dxfId="59" priority="31"/>
  </conditionalFormatting>
  <conditionalFormatting sqref="C35:C36">
    <cfRule type="duplicateValues" dxfId="58" priority="1"/>
    <cfRule type="duplicateValues" dxfId="57" priority="2"/>
  </conditionalFormatting>
  <conditionalFormatting sqref="C35:C36">
    <cfRule type="duplicateValues" dxfId="56" priority="3"/>
  </conditionalFormatting>
  <conditionalFormatting sqref="B35:C36">
    <cfRule type="duplicateValues" dxfId="55" priority="4"/>
  </conditionalFormatting>
  <conditionalFormatting sqref="B35:B36">
    <cfRule type="duplicateValues" dxfId="54" priority="5"/>
  </conditionalFormatting>
  <conditionalFormatting sqref="C5:C9">
    <cfRule type="duplicateValues" dxfId="53" priority="1079"/>
    <cfRule type="duplicateValues" dxfId="52" priority="1080"/>
  </conditionalFormatting>
  <conditionalFormatting sqref="C5:C9">
    <cfRule type="duplicateValues" dxfId="51" priority="1081"/>
  </conditionalFormatting>
  <conditionalFormatting sqref="C10:C13">
    <cfRule type="duplicateValues" dxfId="50" priority="1292"/>
    <cfRule type="duplicateValues" dxfId="49" priority="1293"/>
  </conditionalFormatting>
  <conditionalFormatting sqref="C10:C13">
    <cfRule type="duplicateValues" dxfId="48" priority="1296"/>
  </conditionalFormatting>
  <conditionalFormatting sqref="B10:C13">
    <cfRule type="duplicateValues" dxfId="47" priority="1298"/>
  </conditionalFormatting>
  <conditionalFormatting sqref="B10:B13">
    <cfRule type="duplicateValues" dxfId="46" priority="1300"/>
  </conditionalFormatting>
  <conditionalFormatting sqref="B19:C21 C22">
    <cfRule type="duplicateValues" dxfId="45" priority="1514"/>
  </conditionalFormatting>
  <conditionalFormatting sqref="B19:B21">
    <cfRule type="duplicateValues" dxfId="44" priority="1516"/>
  </conditionalFormatting>
  <conditionalFormatting sqref="C19:C22">
    <cfRule type="duplicateValues" dxfId="43" priority="1517"/>
    <cfRule type="duplicateValues" dxfId="42" priority="1518"/>
  </conditionalFormatting>
  <conditionalFormatting sqref="C19:C22">
    <cfRule type="duplicateValues" dxfId="41" priority="1521"/>
  </conditionalFormatting>
  <conditionalFormatting sqref="B22:B26">
    <cfRule type="duplicateValues" dxfId="40" priority="1726"/>
  </conditionalFormatting>
  <conditionalFormatting sqref="B22:B26">
    <cfRule type="duplicateValues" dxfId="39" priority="1728"/>
    <cfRule type="duplicateValues" dxfId="38" priority="1729"/>
  </conditionalFormatting>
  <conditionalFormatting sqref="C22:C29">
    <cfRule type="duplicateValues" dxfId="37" priority="1741"/>
    <cfRule type="duplicateValues" dxfId="36" priority="1742"/>
  </conditionalFormatting>
  <conditionalFormatting sqref="C22:C29">
    <cfRule type="duplicateValues" dxfId="35" priority="1745"/>
  </conditionalFormatting>
  <conditionalFormatting sqref="B10:B39 B5:C9">
    <cfRule type="duplicateValues" dxfId="34" priority="1747"/>
  </conditionalFormatting>
  <conditionalFormatting sqref="C5:C39">
    <cfRule type="duplicateValues" dxfId="33" priority="1750"/>
  </conditionalFormatting>
  <conditionalFormatting sqref="B5:B39">
    <cfRule type="duplicateValues" dxfId="32" priority="1752"/>
  </conditionalFormatting>
  <printOptions horizontalCentered="1"/>
  <pageMargins left="0.19685039370078741" right="0.19685039370078741" top="0.19685039370078741" bottom="0.19685039370078741" header="0.31496062992125984" footer="0.19685039370078741"/>
  <pageSetup paperSize="9" scale="73" fitToHeight="0" orientation="landscape" r:id="rId1"/>
  <headerFooter alignWithMargins="0"/>
  <rowBreaks count="1" manualBreakCount="1">
    <brk id="26"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D52"/>
  <sheetViews>
    <sheetView topLeftCell="A3" zoomScale="85" zoomScaleNormal="85" workbookViewId="0">
      <selection activeCell="D8" sqref="D8"/>
    </sheetView>
  </sheetViews>
  <sheetFormatPr defaultColWidth="9" defaultRowHeight="20.100000000000001" customHeight="1"/>
  <cols>
    <col min="1" max="1" width="9" style="1"/>
    <col min="2" max="2" width="30.28515625" style="1" bestFit="1" customWidth="1"/>
    <col min="3" max="3" width="9" style="1"/>
    <col min="4" max="4" width="34.5703125" style="1" customWidth="1"/>
    <col min="5" max="16384" width="9" style="1"/>
  </cols>
  <sheetData>
    <row r="1" spans="2:4" ht="20.100000000000001" customHeight="1" thickBot="1"/>
    <row r="2" spans="2:4" ht="39.950000000000003" customHeight="1" thickBot="1">
      <c r="B2" s="18" t="s">
        <v>18</v>
      </c>
      <c r="D2" s="18" t="s">
        <v>17</v>
      </c>
    </row>
    <row r="4" spans="2:4" ht="20.100000000000001" customHeight="1">
      <c r="B4" s="17" t="s">
        <v>16</v>
      </c>
      <c r="D4" s="17" t="s">
        <v>14</v>
      </c>
    </row>
    <row r="5" spans="2:4" ht="20.100000000000001" customHeight="1">
      <c r="B5" s="2" t="s">
        <v>28</v>
      </c>
      <c r="D5" s="2" t="s">
        <v>144</v>
      </c>
    </row>
    <row r="6" spans="2:4" ht="20.100000000000001" customHeight="1">
      <c r="B6" s="2" t="s">
        <v>29</v>
      </c>
      <c r="D6" s="2" t="s">
        <v>38</v>
      </c>
    </row>
    <row r="7" spans="2:4" ht="20.100000000000001" customHeight="1">
      <c r="B7" s="2" t="s">
        <v>30</v>
      </c>
      <c r="D7" s="2" t="s">
        <v>175</v>
      </c>
    </row>
    <row r="8" spans="2:4" ht="20.100000000000001" customHeight="1">
      <c r="B8" s="2" t="s">
        <v>31</v>
      </c>
      <c r="D8" s="2" t="s">
        <v>49</v>
      </c>
    </row>
    <row r="9" spans="2:4" ht="20.100000000000001" customHeight="1">
      <c r="B9" s="2" t="s">
        <v>32</v>
      </c>
      <c r="D9" s="2" t="s">
        <v>39</v>
      </c>
    </row>
    <row r="10" spans="2:4" ht="20.100000000000001" customHeight="1">
      <c r="B10" s="2" t="s">
        <v>33</v>
      </c>
      <c r="D10" s="2" t="s">
        <v>168</v>
      </c>
    </row>
    <row r="11" spans="2:4" ht="20.100000000000001" customHeight="1">
      <c r="B11" s="2" t="s">
        <v>34</v>
      </c>
      <c r="D11" s="2" t="s">
        <v>41</v>
      </c>
    </row>
    <row r="12" spans="2:4" ht="20.100000000000001" customHeight="1">
      <c r="B12" s="2" t="s">
        <v>100</v>
      </c>
      <c r="D12" s="2" t="s">
        <v>142</v>
      </c>
    </row>
    <row r="13" spans="2:4" ht="20.100000000000001" customHeight="1">
      <c r="B13" s="2" t="s">
        <v>35</v>
      </c>
      <c r="D13" s="2" t="s">
        <v>42</v>
      </c>
    </row>
    <row r="14" spans="2:4" ht="20.100000000000001" customHeight="1">
      <c r="B14" s="2" t="s">
        <v>36</v>
      </c>
      <c r="D14" s="2" t="s">
        <v>45</v>
      </c>
    </row>
    <row r="15" spans="2:4" ht="20.100000000000001" customHeight="1">
      <c r="B15" s="2" t="s">
        <v>37</v>
      </c>
      <c r="D15" s="2" t="s">
        <v>46</v>
      </c>
    </row>
    <row r="16" spans="2:4" ht="20.100000000000001" customHeight="1">
      <c r="B16" s="2" t="s">
        <v>40</v>
      </c>
      <c r="D16" s="2" t="s">
        <v>47</v>
      </c>
    </row>
    <row r="17" spans="2:4" ht="20.100000000000001" customHeight="1">
      <c r="B17" s="2" t="s">
        <v>52</v>
      </c>
      <c r="D17" s="2" t="s">
        <v>48</v>
      </c>
    </row>
    <row r="18" spans="2:4" ht="20.100000000000001" customHeight="1">
      <c r="B18" s="2" t="s">
        <v>140</v>
      </c>
      <c r="D18" s="2" t="s">
        <v>50</v>
      </c>
    </row>
    <row r="19" spans="2:4" ht="20.100000000000001" customHeight="1">
      <c r="B19" s="2"/>
      <c r="D19" s="2" t="s">
        <v>51</v>
      </c>
    </row>
    <row r="20" spans="2:4" ht="20.100000000000001" customHeight="1">
      <c r="B20" s="2"/>
      <c r="D20" s="2" t="s">
        <v>53</v>
      </c>
    </row>
    <row r="21" spans="2:4" ht="20.100000000000001" customHeight="1">
      <c r="D21" s="2" t="s">
        <v>101</v>
      </c>
    </row>
    <row r="22" spans="2:4" ht="20.100000000000001" customHeight="1">
      <c r="D22" s="2" t="s">
        <v>102</v>
      </c>
    </row>
    <row r="23" spans="2:4" ht="20.100000000000001" customHeight="1">
      <c r="D23" s="2" t="s">
        <v>113</v>
      </c>
    </row>
    <row r="24" spans="2:4" ht="20.100000000000001" customHeight="1">
      <c r="D24" s="2" t="s">
        <v>114</v>
      </c>
    </row>
    <row r="25" spans="2:4" ht="20.100000000000001" customHeight="1">
      <c r="D25" s="2" t="s">
        <v>116</v>
      </c>
    </row>
    <row r="26" spans="2:4" ht="20.100000000000001" customHeight="1">
      <c r="D26" s="2" t="s">
        <v>136</v>
      </c>
    </row>
    <row r="27" spans="2:4" ht="20.100000000000001" customHeight="1">
      <c r="D27" s="2" t="s">
        <v>139</v>
      </c>
    </row>
    <row r="45" spans="4:4" ht="20.100000000000001" customHeight="1">
      <c r="D45" s="2" t="s">
        <v>46</v>
      </c>
    </row>
    <row r="46" spans="4:4" ht="20.100000000000001" customHeight="1">
      <c r="D46" s="2" t="s">
        <v>47</v>
      </c>
    </row>
    <row r="47" spans="4:4" ht="20.100000000000001" customHeight="1">
      <c r="D47" s="2" t="s">
        <v>48</v>
      </c>
    </row>
    <row r="48" spans="4:4" ht="20.100000000000001" customHeight="1">
      <c r="D48" s="2" t="s">
        <v>50</v>
      </c>
    </row>
    <row r="49" spans="4:4" ht="20.100000000000001" customHeight="1">
      <c r="D49" s="2" t="s">
        <v>51</v>
      </c>
    </row>
    <row r="50" spans="4:4" ht="20.100000000000001" customHeight="1">
      <c r="D50" s="2" t="s">
        <v>53</v>
      </c>
    </row>
    <row r="51" spans="4:4" ht="20.100000000000001" customHeight="1">
      <c r="D51" s="2" t="s">
        <v>101</v>
      </c>
    </row>
    <row r="52" spans="4:4" ht="20.100000000000001" customHeight="1">
      <c r="D52" s="2" t="s">
        <v>102</v>
      </c>
    </row>
  </sheetData>
  <sheetProtection selectLockedCells="1"/>
  <phoneticPr fontId="2" type="noConversion"/>
  <dataValidations disablePrompts="1" count="1">
    <dataValidation type="list" allowBlank="1" showInputMessage="1" showErrorMessage="1" sqref="G4">
      <formula1>OFFSET($D$5, 0, 0, COUNTA($D:$D)-2)</formula1>
    </dataValidation>
  </dataValidations>
  <pageMargins left="0.70866141732283472" right="0.70866141732283472" top="0.74803149606299213" bottom="0.74803149606299213" header="0.31496062992125984" footer="0.31496062992125984"/>
  <pageSetup paperSize="9" scale="72"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162"/>
  <sheetViews>
    <sheetView tabSelected="1" zoomScale="80" zoomScaleNormal="80" workbookViewId="0">
      <selection activeCell="A28" sqref="A28:XFD28"/>
    </sheetView>
  </sheetViews>
  <sheetFormatPr defaultColWidth="9" defaultRowHeight="20.100000000000001" customHeight="1"/>
  <cols>
    <col min="1" max="1" width="6" style="39" customWidth="1"/>
    <col min="2" max="2" width="15.5703125" style="39" customWidth="1"/>
    <col min="3" max="3" width="24.28515625" style="39" bestFit="1" customWidth="1"/>
    <col min="4" max="4" width="14.85546875" style="38" bestFit="1" customWidth="1"/>
    <col min="5" max="5" width="10.5703125" style="39" customWidth="1"/>
    <col min="6" max="6" width="10.42578125" style="39" customWidth="1"/>
    <col min="7" max="7" width="18.42578125" style="39" customWidth="1"/>
    <col min="8" max="8" width="10.140625" style="39" customWidth="1"/>
    <col min="9" max="9" width="11.85546875" style="39" customWidth="1"/>
    <col min="10" max="10" width="30.7109375" style="39" customWidth="1"/>
    <col min="11" max="11" width="24.28515625" style="47" bestFit="1" customWidth="1"/>
    <col min="12" max="12" width="20.28515625" style="47" bestFit="1" customWidth="1"/>
    <col min="13" max="13" width="14.140625" style="39" customWidth="1"/>
    <col min="14" max="14" width="12.5703125" style="39" customWidth="1"/>
    <col min="15" max="15" width="9.140625" style="39" customWidth="1"/>
    <col min="16" max="16" width="7" style="23" bestFit="1" customWidth="1"/>
    <col min="17" max="16384" width="9" style="23"/>
  </cols>
  <sheetData>
    <row r="1" spans="1:16" ht="9.9499999999999993" customHeight="1">
      <c r="A1" s="20"/>
      <c r="B1" s="20"/>
      <c r="C1" s="20"/>
      <c r="D1" s="21"/>
      <c r="E1" s="20"/>
      <c r="F1" s="20"/>
      <c r="G1" s="20"/>
      <c r="H1" s="20"/>
      <c r="I1" s="20"/>
      <c r="J1" s="20"/>
      <c r="K1" s="22"/>
      <c r="L1" s="22"/>
      <c r="M1" s="20"/>
      <c r="N1" s="20"/>
      <c r="O1" s="20"/>
    </row>
    <row r="2" spans="1:16" ht="5.0999999999999996" customHeight="1">
      <c r="A2" s="24"/>
      <c r="B2" s="24"/>
      <c r="C2" s="24"/>
      <c r="D2" s="25"/>
      <c r="E2" s="24"/>
      <c r="F2" s="24"/>
      <c r="G2" s="24"/>
      <c r="H2" s="24"/>
      <c r="I2" s="24"/>
      <c r="J2" s="24"/>
      <c r="K2" s="26"/>
      <c r="L2" s="26"/>
      <c r="M2" s="24"/>
      <c r="N2" s="24"/>
      <c r="O2" s="24"/>
      <c r="P2" s="27"/>
    </row>
    <row r="3" spans="1:16" ht="33" customHeight="1">
      <c r="A3" s="24"/>
      <c r="B3" s="24"/>
      <c r="C3" s="70"/>
      <c r="D3" s="70"/>
      <c r="E3" s="70"/>
      <c r="F3" s="70"/>
      <c r="G3" s="70"/>
      <c r="H3" s="70"/>
      <c r="I3" s="70"/>
      <c r="J3" s="70"/>
      <c r="K3" s="70"/>
      <c r="L3" s="70"/>
      <c r="M3" s="70"/>
      <c r="N3" s="24"/>
      <c r="O3" s="24"/>
      <c r="P3" s="27"/>
    </row>
    <row r="4" spans="1:16" ht="20.100000000000001" customHeight="1">
      <c r="A4" s="24"/>
      <c r="B4" s="24"/>
      <c r="C4" s="24"/>
      <c r="D4" s="25"/>
      <c r="E4" s="24"/>
      <c r="F4" s="24"/>
      <c r="G4" s="24"/>
      <c r="H4" s="24"/>
      <c r="I4" s="24"/>
      <c r="J4" s="24"/>
      <c r="K4" s="26"/>
      <c r="L4" s="26"/>
      <c r="M4" s="24"/>
      <c r="N4" s="24"/>
      <c r="O4" s="24"/>
      <c r="P4" s="27"/>
    </row>
    <row r="5" spans="1:16" ht="20.100000000000001" customHeight="1">
      <c r="A5" s="24"/>
      <c r="B5" s="28" t="s">
        <v>11</v>
      </c>
      <c r="C5" s="28" t="s">
        <v>12</v>
      </c>
      <c r="D5" s="29" t="s">
        <v>65</v>
      </c>
      <c r="E5" s="28" t="s">
        <v>13</v>
      </c>
      <c r="F5" s="28" t="s">
        <v>66</v>
      </c>
      <c r="G5" s="28" t="s">
        <v>14</v>
      </c>
      <c r="H5" s="28" t="s">
        <v>67</v>
      </c>
      <c r="I5" s="28" t="s">
        <v>68</v>
      </c>
      <c r="J5" s="28" t="s">
        <v>69</v>
      </c>
      <c r="K5" s="30" t="s">
        <v>20</v>
      </c>
      <c r="L5" s="30" t="s">
        <v>70</v>
      </c>
      <c r="M5" s="28" t="s">
        <v>15</v>
      </c>
      <c r="N5" s="28" t="s">
        <v>71</v>
      </c>
      <c r="O5" s="28" t="s">
        <v>19</v>
      </c>
      <c r="P5" s="27"/>
    </row>
    <row r="6" spans="1:16" ht="30" customHeight="1">
      <c r="A6" s="24"/>
      <c r="B6" s="35"/>
      <c r="C6" s="37" t="str">
        <f>IFERROR(VLOOKUP(B6,HR_data!$B:$C,2,0),"(no result)")</f>
        <v>(no result)</v>
      </c>
      <c r="F6" s="39" t="s">
        <v>167</v>
      </c>
      <c r="G6" s="39" t="s">
        <v>175</v>
      </c>
      <c r="K6" s="40"/>
      <c r="L6" s="40"/>
      <c r="O6" s="39" t="s">
        <v>43</v>
      </c>
      <c r="P6" s="27"/>
    </row>
    <row r="7" spans="1:16" ht="20.100000000000001" customHeight="1">
      <c r="A7" s="24"/>
      <c r="B7" s="31" t="s">
        <v>44</v>
      </c>
      <c r="C7" s="19" t="s">
        <v>72</v>
      </c>
      <c r="D7" s="32" t="s">
        <v>7</v>
      </c>
      <c r="E7" s="31" t="s">
        <v>9</v>
      </c>
      <c r="F7" s="31" t="s">
        <v>9</v>
      </c>
      <c r="G7" s="31" t="s">
        <v>9</v>
      </c>
      <c r="H7" s="31" t="s">
        <v>73</v>
      </c>
      <c r="I7" s="31" t="s">
        <v>10</v>
      </c>
      <c r="J7" s="31" t="s">
        <v>6</v>
      </c>
      <c r="K7" s="33" t="s">
        <v>9</v>
      </c>
      <c r="L7" s="33" t="s">
        <v>9</v>
      </c>
      <c r="M7" s="31" t="s">
        <v>74</v>
      </c>
      <c r="N7" s="31" t="s">
        <v>8</v>
      </c>
      <c r="O7" s="31" t="s">
        <v>75</v>
      </c>
      <c r="P7" s="27"/>
    </row>
    <row r="8" spans="1:16" ht="20.100000000000001" customHeight="1">
      <c r="A8" s="24"/>
      <c r="B8" s="71" t="s">
        <v>76</v>
      </c>
      <c r="C8" s="71"/>
      <c r="D8" s="71"/>
      <c r="E8" s="24"/>
      <c r="F8" s="24"/>
      <c r="G8" s="24"/>
      <c r="H8" s="24"/>
      <c r="I8" s="24"/>
      <c r="J8" s="24"/>
      <c r="K8" s="26"/>
      <c r="L8" s="26"/>
      <c r="M8" s="24"/>
      <c r="N8" s="24"/>
      <c r="O8" s="24"/>
      <c r="P8" s="27"/>
    </row>
    <row r="9" spans="1:16" ht="20.100000000000001" customHeight="1">
      <c r="A9" s="24"/>
      <c r="B9" s="71"/>
      <c r="C9" s="71"/>
      <c r="D9" s="71"/>
      <c r="E9" s="24"/>
      <c r="F9" s="24"/>
      <c r="G9" s="24"/>
      <c r="H9" s="24"/>
      <c r="I9" s="24"/>
      <c r="J9" s="24"/>
      <c r="K9" s="26"/>
      <c r="L9" s="26"/>
      <c r="M9" s="24"/>
      <c r="N9" s="24"/>
      <c r="O9" s="24"/>
      <c r="P9" s="27"/>
    </row>
    <row r="10" spans="1:16" ht="20.100000000000001" customHeight="1">
      <c r="A10" s="24"/>
      <c r="B10" s="34"/>
      <c r="C10" s="34"/>
      <c r="D10" s="34"/>
      <c r="E10" s="24"/>
      <c r="F10" s="24"/>
      <c r="G10" s="24"/>
      <c r="H10" s="24"/>
      <c r="I10" s="24"/>
      <c r="J10" s="24"/>
      <c r="K10" s="26"/>
      <c r="L10" s="26"/>
      <c r="M10" s="24"/>
      <c r="N10" s="24"/>
      <c r="O10" s="24"/>
      <c r="P10" s="27"/>
    </row>
    <row r="11" spans="1:16" ht="20.100000000000001" customHeight="1">
      <c r="A11" s="24"/>
      <c r="B11" s="24"/>
      <c r="C11" s="24"/>
      <c r="D11" s="25"/>
      <c r="E11" s="24"/>
      <c r="F11" s="24"/>
      <c r="G11" s="24"/>
      <c r="H11" s="24"/>
      <c r="I11" s="24"/>
      <c r="J11" s="24"/>
      <c r="K11" s="26"/>
      <c r="L11" s="26"/>
      <c r="M11" s="24"/>
      <c r="N11" s="24"/>
      <c r="O11" s="24"/>
      <c r="P11" s="27"/>
    </row>
    <row r="12" spans="1:16" ht="20.100000000000001" customHeight="1">
      <c r="A12" s="24"/>
      <c r="B12" s="24"/>
      <c r="C12" s="24"/>
      <c r="D12" s="25"/>
      <c r="E12" s="24"/>
      <c r="F12" s="24"/>
      <c r="G12" s="24"/>
      <c r="H12" s="24"/>
      <c r="I12" s="24"/>
      <c r="J12" s="24"/>
      <c r="K12" s="26"/>
      <c r="L12" s="26"/>
      <c r="M12" s="24"/>
      <c r="N12" s="24"/>
      <c r="O12" s="24"/>
      <c r="P12" s="24"/>
    </row>
    <row r="13" spans="1:16" ht="20.100000000000001" customHeight="1">
      <c r="A13" s="24"/>
      <c r="B13" s="24"/>
      <c r="C13" s="24"/>
      <c r="D13" s="25"/>
      <c r="E13" s="24"/>
      <c r="F13" s="41"/>
      <c r="G13" s="24"/>
      <c r="H13" s="24"/>
      <c r="I13" s="24"/>
      <c r="J13" s="24"/>
      <c r="K13" s="26"/>
      <c r="L13" s="26"/>
      <c r="M13" s="24"/>
      <c r="N13" s="24"/>
      <c r="O13" s="24"/>
      <c r="P13" s="24"/>
    </row>
    <row r="14" spans="1:16" ht="19.5" customHeight="1">
      <c r="A14" s="42" t="s">
        <v>21</v>
      </c>
      <c r="B14" s="42" t="s">
        <v>22</v>
      </c>
      <c r="C14" s="42" t="s">
        <v>23</v>
      </c>
      <c r="D14" s="43" t="s">
        <v>24</v>
      </c>
      <c r="E14" s="42" t="s">
        <v>77</v>
      </c>
      <c r="F14" s="42" t="s">
        <v>78</v>
      </c>
      <c r="G14" s="42" t="s">
        <v>79</v>
      </c>
      <c r="H14" s="42" t="s">
        <v>25</v>
      </c>
      <c r="I14" s="42" t="s">
        <v>80</v>
      </c>
      <c r="J14" s="42" t="s">
        <v>26</v>
      </c>
      <c r="K14" s="44" t="s">
        <v>27</v>
      </c>
      <c r="L14" s="44" t="s">
        <v>81</v>
      </c>
      <c r="M14" s="42" t="s">
        <v>170</v>
      </c>
      <c r="N14" s="42" t="s">
        <v>141</v>
      </c>
      <c r="O14" s="42" t="s">
        <v>82</v>
      </c>
    </row>
    <row r="15" spans="1:16" s="48" customFormat="1" ht="19.5" customHeight="1">
      <c r="A15" s="45">
        <f>ROW()-14</f>
        <v>1</v>
      </c>
      <c r="B15" s="35">
        <v>2019072510</v>
      </c>
      <c r="C15" s="37" t="str">
        <f>IFERROR(VLOOKUP(B15,HR_data!$B:$C,2,0),"(no result)")</f>
        <v>Nguyễn Thị Mộng Thu</v>
      </c>
      <c r="D15" s="46">
        <v>43941</v>
      </c>
      <c r="E15" s="45" t="s">
        <v>138</v>
      </c>
      <c r="F15" s="45" t="s">
        <v>167</v>
      </c>
      <c r="G15" s="45" t="s">
        <v>175</v>
      </c>
      <c r="H15" s="45" t="s">
        <v>230</v>
      </c>
      <c r="I15" s="45" t="s">
        <v>145</v>
      </c>
      <c r="J15" s="45" t="s">
        <v>176</v>
      </c>
      <c r="K15" s="40" t="s">
        <v>146</v>
      </c>
      <c r="L15" s="40" t="s">
        <v>146</v>
      </c>
      <c r="M15" s="45">
        <v>75</v>
      </c>
      <c r="N15" s="45">
        <v>60</v>
      </c>
      <c r="O15" s="45" t="s">
        <v>43</v>
      </c>
      <c r="P15" s="49"/>
    </row>
    <row r="16" spans="1:16" s="48" customFormat="1" ht="18.75" customHeight="1">
      <c r="A16" s="45">
        <f t="shared" ref="A16:A52" si="0">ROW()-14</f>
        <v>2</v>
      </c>
      <c r="B16" s="35">
        <v>2019072510</v>
      </c>
      <c r="C16" s="37" t="str">
        <f>IFERROR(VLOOKUP(B16,HR_data!$B:$C,2,0),"(no result)")</f>
        <v>Nguyễn Thị Mộng Thu</v>
      </c>
      <c r="D16" s="46">
        <v>43941</v>
      </c>
      <c r="E16" s="45" t="s">
        <v>138</v>
      </c>
      <c r="F16" s="45" t="s">
        <v>167</v>
      </c>
      <c r="G16" s="45" t="s">
        <v>175</v>
      </c>
      <c r="H16" s="45" t="s">
        <v>230</v>
      </c>
      <c r="I16" s="45" t="s">
        <v>145</v>
      </c>
      <c r="J16" s="45" t="s">
        <v>177</v>
      </c>
      <c r="K16" s="40" t="s">
        <v>197</v>
      </c>
      <c r="L16" s="40" t="s">
        <v>198</v>
      </c>
      <c r="M16" s="45">
        <v>94</v>
      </c>
      <c r="N16" s="45">
        <v>32</v>
      </c>
      <c r="O16" s="45" t="s">
        <v>137</v>
      </c>
      <c r="P16" s="49"/>
    </row>
    <row r="17" spans="1:16" s="48" customFormat="1" ht="18.75" customHeight="1">
      <c r="A17" s="45">
        <f t="shared" si="0"/>
        <v>3</v>
      </c>
      <c r="B17" s="35">
        <v>2019062704</v>
      </c>
      <c r="C17" s="37" t="str">
        <f>IFERROR(VLOOKUP(B17,HR_data!$B:$C,2,0),"(no result)")</f>
        <v>Phạm Thị Thu</v>
      </c>
      <c r="D17" s="46">
        <v>43941</v>
      </c>
      <c r="E17" s="45" t="s">
        <v>138</v>
      </c>
      <c r="F17" s="45" t="s">
        <v>167</v>
      </c>
      <c r="G17" s="45" t="s">
        <v>175</v>
      </c>
      <c r="H17" s="45" t="s">
        <v>230</v>
      </c>
      <c r="I17" s="45" t="s">
        <v>178</v>
      </c>
      <c r="J17" s="45" t="s">
        <v>231</v>
      </c>
      <c r="K17" s="40" t="s">
        <v>146</v>
      </c>
      <c r="L17" s="40" t="s">
        <v>146</v>
      </c>
      <c r="M17" s="45">
        <v>34</v>
      </c>
      <c r="N17" s="45">
        <v>61</v>
      </c>
      <c r="O17" s="45" t="s">
        <v>43</v>
      </c>
      <c r="P17" s="49"/>
    </row>
    <row r="18" spans="1:16" s="48" customFormat="1" ht="18.75" customHeight="1">
      <c r="A18" s="45">
        <f t="shared" si="0"/>
        <v>4</v>
      </c>
      <c r="B18" s="35">
        <v>2019062704</v>
      </c>
      <c r="C18" s="37" t="str">
        <f>IFERROR(VLOOKUP(B18,HR_data!$B:$C,2,0),"(no result)")</f>
        <v>Phạm Thị Thu</v>
      </c>
      <c r="D18" s="46">
        <v>43941</v>
      </c>
      <c r="E18" s="45" t="s">
        <v>138</v>
      </c>
      <c r="F18" s="45" t="s">
        <v>167</v>
      </c>
      <c r="G18" s="45" t="s">
        <v>175</v>
      </c>
      <c r="H18" s="45" t="s">
        <v>230</v>
      </c>
      <c r="I18" s="45" t="s">
        <v>178</v>
      </c>
      <c r="J18" s="45" t="s">
        <v>179</v>
      </c>
      <c r="K18" s="40" t="s">
        <v>149</v>
      </c>
      <c r="L18" s="40" t="s">
        <v>149</v>
      </c>
      <c r="M18" s="45">
        <v>15</v>
      </c>
      <c r="N18" s="45">
        <v>16</v>
      </c>
      <c r="O18" s="45" t="s">
        <v>137</v>
      </c>
      <c r="P18" s="49"/>
    </row>
    <row r="19" spans="1:16" s="48" customFormat="1" ht="19.5" customHeight="1">
      <c r="A19" s="45">
        <f t="shared" si="0"/>
        <v>5</v>
      </c>
      <c r="B19" s="35">
        <v>2019021904</v>
      </c>
      <c r="C19" s="37" t="str">
        <f>IFERROR(VLOOKUP(B19,HR_data!$B:$C,2,0),"(no result)")</f>
        <v>Phạm Thị Thu Oanh</v>
      </c>
      <c r="D19" s="46">
        <v>43941</v>
      </c>
      <c r="E19" s="45" t="s">
        <v>138</v>
      </c>
      <c r="F19" s="45" t="s">
        <v>167</v>
      </c>
      <c r="G19" s="45" t="s">
        <v>175</v>
      </c>
      <c r="H19" s="45" t="s">
        <v>230</v>
      </c>
      <c r="I19" s="45" t="s">
        <v>147</v>
      </c>
      <c r="J19" s="45" t="s">
        <v>180</v>
      </c>
      <c r="K19" s="40" t="s">
        <v>149</v>
      </c>
      <c r="L19" s="40" t="s">
        <v>149</v>
      </c>
      <c r="M19" s="45">
        <v>23</v>
      </c>
      <c r="N19" s="45">
        <v>17</v>
      </c>
      <c r="O19" s="45" t="s">
        <v>137</v>
      </c>
      <c r="P19" s="49"/>
    </row>
    <row r="20" spans="1:16" s="48" customFormat="1" ht="19.5" customHeight="1">
      <c r="A20" s="45">
        <f t="shared" si="0"/>
        <v>6</v>
      </c>
      <c r="B20" s="35">
        <v>2019021904</v>
      </c>
      <c r="C20" s="37" t="str">
        <f>IFERROR(VLOOKUP(B20,HR_data!$B:$C,2,0),"(no result)")</f>
        <v>Phạm Thị Thu Oanh</v>
      </c>
      <c r="D20" s="46">
        <v>43941</v>
      </c>
      <c r="E20" s="45" t="s">
        <v>138</v>
      </c>
      <c r="F20" s="45" t="s">
        <v>167</v>
      </c>
      <c r="G20" s="45" t="s">
        <v>175</v>
      </c>
      <c r="H20" s="45" t="s">
        <v>230</v>
      </c>
      <c r="I20" s="45" t="s">
        <v>147</v>
      </c>
      <c r="J20" s="45" t="s">
        <v>181</v>
      </c>
      <c r="K20" s="40" t="s">
        <v>146</v>
      </c>
      <c r="L20" s="40" t="s">
        <v>146</v>
      </c>
      <c r="M20" s="45">
        <v>50</v>
      </c>
      <c r="N20" s="45">
        <v>83</v>
      </c>
      <c r="O20" s="45" t="s">
        <v>43</v>
      </c>
      <c r="P20" s="49"/>
    </row>
    <row r="21" spans="1:16" s="48" customFormat="1" ht="19.5" customHeight="1">
      <c r="A21" s="45">
        <f t="shared" si="0"/>
        <v>7</v>
      </c>
      <c r="B21" s="35">
        <v>2019072910</v>
      </c>
      <c r="C21" s="37" t="str">
        <f>IFERROR(VLOOKUP(B21,HR_data!$B:$C,2,0),"(no result)")</f>
        <v>Nguyễn Thị Nước</v>
      </c>
      <c r="D21" s="46">
        <v>43941</v>
      </c>
      <c r="E21" s="45" t="s">
        <v>138</v>
      </c>
      <c r="F21" s="45" t="s">
        <v>167</v>
      </c>
      <c r="G21" s="45" t="s">
        <v>175</v>
      </c>
      <c r="H21" s="45" t="s">
        <v>230</v>
      </c>
      <c r="I21" s="45" t="s">
        <v>148</v>
      </c>
      <c r="J21" s="45" t="s">
        <v>203</v>
      </c>
      <c r="K21" s="40" t="s">
        <v>146</v>
      </c>
      <c r="L21" s="40" t="s">
        <v>146</v>
      </c>
      <c r="M21" s="45">
        <v>88</v>
      </c>
      <c r="N21" s="45">
        <v>90</v>
      </c>
      <c r="O21" s="45" t="s">
        <v>43</v>
      </c>
      <c r="P21" s="49"/>
    </row>
    <row r="22" spans="1:16" s="48" customFormat="1" ht="19.5" customHeight="1">
      <c r="A22" s="45">
        <f t="shared" si="0"/>
        <v>8</v>
      </c>
      <c r="B22" s="35">
        <v>2018071703</v>
      </c>
      <c r="C22" s="37" t="str">
        <f>IFERROR(VLOOKUP(B22,HR_data!$B:$C,2,0),"(no result)")</f>
        <v>Trần Thị Thu Hiền</v>
      </c>
      <c r="D22" s="46">
        <v>43941</v>
      </c>
      <c r="E22" s="45" t="s">
        <v>138</v>
      </c>
      <c r="F22" s="45" t="s">
        <v>167</v>
      </c>
      <c r="G22" s="45" t="s">
        <v>175</v>
      </c>
      <c r="H22" s="45" t="s">
        <v>230</v>
      </c>
      <c r="I22" s="45" t="s">
        <v>163</v>
      </c>
      <c r="J22" s="45" t="s">
        <v>182</v>
      </c>
      <c r="K22" s="40" t="s">
        <v>149</v>
      </c>
      <c r="L22" s="40" t="s">
        <v>183</v>
      </c>
      <c r="M22" s="45">
        <v>46</v>
      </c>
      <c r="N22" s="45">
        <v>65</v>
      </c>
      <c r="O22" s="45" t="s">
        <v>137</v>
      </c>
      <c r="P22" s="49"/>
    </row>
    <row r="23" spans="1:16" s="48" customFormat="1" ht="19.5" customHeight="1">
      <c r="A23" s="45">
        <f t="shared" si="0"/>
        <v>9</v>
      </c>
      <c r="B23" s="35">
        <v>2018071703</v>
      </c>
      <c r="C23" s="37" t="str">
        <f>IFERROR(VLOOKUP(B23,HR_data!$B:$C,2,0),"(no result)")</f>
        <v>Trần Thị Thu Hiền</v>
      </c>
      <c r="D23" s="46">
        <v>43941</v>
      </c>
      <c r="E23" s="45" t="s">
        <v>138</v>
      </c>
      <c r="F23" s="45" t="s">
        <v>167</v>
      </c>
      <c r="G23" s="45" t="s">
        <v>175</v>
      </c>
      <c r="H23" s="45" t="s">
        <v>230</v>
      </c>
      <c r="I23" s="45" t="s">
        <v>163</v>
      </c>
      <c r="J23" s="45" t="s">
        <v>199</v>
      </c>
      <c r="K23" s="40" t="s">
        <v>165</v>
      </c>
      <c r="L23" s="40" t="s">
        <v>166</v>
      </c>
      <c r="M23" s="45">
        <v>30</v>
      </c>
      <c r="N23" s="45">
        <v>23</v>
      </c>
      <c r="O23" s="45" t="s">
        <v>43</v>
      </c>
      <c r="P23" s="49"/>
    </row>
    <row r="24" spans="1:16" s="48" customFormat="1" ht="19.5" customHeight="1">
      <c r="A24" s="45">
        <f t="shared" si="0"/>
        <v>10</v>
      </c>
      <c r="B24" s="35">
        <v>2017030301</v>
      </c>
      <c r="C24" s="37" t="str">
        <f>IFERROR(VLOOKUP(B24,HR_data!$B:$C,2,0),"(no result)")</f>
        <v>Võ Thị Thanh Trúc</v>
      </c>
      <c r="D24" s="46">
        <v>43941</v>
      </c>
      <c r="E24" s="45" t="s">
        <v>138</v>
      </c>
      <c r="F24" s="45" t="s">
        <v>167</v>
      </c>
      <c r="G24" s="45" t="s">
        <v>175</v>
      </c>
      <c r="H24" s="45" t="s">
        <v>230</v>
      </c>
      <c r="I24" s="65" t="s">
        <v>184</v>
      </c>
      <c r="J24" s="45" t="s">
        <v>204</v>
      </c>
      <c r="K24" s="40" t="s">
        <v>146</v>
      </c>
      <c r="L24" s="40" t="s">
        <v>146</v>
      </c>
      <c r="M24" s="45">
        <v>30</v>
      </c>
      <c r="N24" s="45">
        <v>30</v>
      </c>
      <c r="O24" s="45" t="s">
        <v>43</v>
      </c>
      <c r="P24" s="49"/>
    </row>
    <row r="25" spans="1:16" s="48" customFormat="1" ht="19.5" customHeight="1">
      <c r="A25" s="45">
        <f t="shared" si="0"/>
        <v>11</v>
      </c>
      <c r="B25" s="35">
        <v>2017030301</v>
      </c>
      <c r="C25" s="37" t="str">
        <f>IFERROR(VLOOKUP(B25,HR_data!$B:$C,2,0),"(no result)")</f>
        <v>Võ Thị Thanh Trúc</v>
      </c>
      <c r="D25" s="46">
        <v>43941</v>
      </c>
      <c r="E25" s="45" t="s">
        <v>138</v>
      </c>
      <c r="F25" s="45" t="s">
        <v>167</v>
      </c>
      <c r="G25" s="45" t="s">
        <v>175</v>
      </c>
      <c r="H25" s="45" t="s">
        <v>230</v>
      </c>
      <c r="I25" s="65" t="s">
        <v>184</v>
      </c>
      <c r="J25" s="45" t="s">
        <v>185</v>
      </c>
      <c r="K25" s="40" t="s">
        <v>150</v>
      </c>
      <c r="L25" s="40" t="s">
        <v>150</v>
      </c>
      <c r="M25" s="45">
        <v>28</v>
      </c>
      <c r="N25" s="45">
        <v>29</v>
      </c>
      <c r="O25" s="45" t="s">
        <v>137</v>
      </c>
      <c r="P25" s="49"/>
    </row>
    <row r="26" spans="1:16" s="48" customFormat="1" ht="19.5" customHeight="1">
      <c r="A26" s="45">
        <f t="shared" si="0"/>
        <v>12</v>
      </c>
      <c r="B26" s="35">
        <v>2019021509</v>
      </c>
      <c r="C26" s="37" t="str">
        <f>IFERROR(VLOOKUP(B26,HR_data!$B:$C,2,0),"(no result)")</f>
        <v>Nguyễn Thị Kim Thoa</v>
      </c>
      <c r="D26" s="46">
        <v>43941</v>
      </c>
      <c r="E26" s="45" t="s">
        <v>138</v>
      </c>
      <c r="F26" s="45" t="s">
        <v>167</v>
      </c>
      <c r="G26" s="45" t="s">
        <v>175</v>
      </c>
      <c r="H26" s="45" t="s">
        <v>230</v>
      </c>
      <c r="I26" s="65" t="s">
        <v>222</v>
      </c>
      <c r="J26" s="45" t="s">
        <v>223</v>
      </c>
      <c r="K26" s="40" t="s">
        <v>152</v>
      </c>
      <c r="L26" s="40" t="s">
        <v>153</v>
      </c>
      <c r="M26" s="45">
        <v>51</v>
      </c>
      <c r="N26" s="45">
        <v>42</v>
      </c>
      <c r="O26" s="45" t="s">
        <v>43</v>
      </c>
      <c r="P26" s="49"/>
    </row>
    <row r="27" spans="1:16" s="48" customFormat="1" ht="19.5" customHeight="1">
      <c r="A27" s="45">
        <f t="shared" si="0"/>
        <v>13</v>
      </c>
      <c r="B27" s="35">
        <v>2019021509</v>
      </c>
      <c r="C27" s="37" t="str">
        <f>IFERROR(VLOOKUP(B27,HR_data!$B:$C,2,0),"(no result)")</f>
        <v>Nguyễn Thị Kim Thoa</v>
      </c>
      <c r="D27" s="46">
        <v>43941</v>
      </c>
      <c r="E27" s="45" t="s">
        <v>138</v>
      </c>
      <c r="F27" s="45" t="s">
        <v>167</v>
      </c>
      <c r="G27" s="45" t="s">
        <v>175</v>
      </c>
      <c r="H27" s="45" t="s">
        <v>230</v>
      </c>
      <c r="I27" s="65" t="s">
        <v>222</v>
      </c>
      <c r="J27" s="45" t="s">
        <v>224</v>
      </c>
      <c r="K27" s="40" t="s">
        <v>149</v>
      </c>
      <c r="L27" s="40" t="s">
        <v>183</v>
      </c>
      <c r="M27" s="45">
        <v>79</v>
      </c>
      <c r="N27" s="45">
        <v>55</v>
      </c>
      <c r="O27" s="45" t="s">
        <v>137</v>
      </c>
      <c r="P27" s="49"/>
    </row>
    <row r="28" spans="1:16" s="48" customFormat="1" ht="19.5" customHeight="1">
      <c r="A28" s="45">
        <f t="shared" si="0"/>
        <v>14</v>
      </c>
      <c r="B28" s="35">
        <v>2020041701</v>
      </c>
      <c r="C28" s="37" t="str">
        <f>IFERROR(VLOOKUP(B28,HR_data!$B:$C,2,0),"(no result)")</f>
        <v>Lương Thị Anh Thư</v>
      </c>
      <c r="D28" s="46">
        <v>43941</v>
      </c>
      <c r="E28" s="45" t="s">
        <v>138</v>
      </c>
      <c r="F28" s="45" t="s">
        <v>167</v>
      </c>
      <c r="G28" s="45" t="s">
        <v>175</v>
      </c>
      <c r="H28" s="45" t="s">
        <v>230</v>
      </c>
      <c r="I28" s="65" t="s">
        <v>151</v>
      </c>
      <c r="J28" s="45" t="s">
        <v>227</v>
      </c>
      <c r="K28" s="40" t="s">
        <v>146</v>
      </c>
      <c r="L28" s="40" t="s">
        <v>146</v>
      </c>
      <c r="M28" s="45">
        <v>46</v>
      </c>
      <c r="N28" s="45">
        <v>56</v>
      </c>
      <c r="O28" s="45" t="s">
        <v>43</v>
      </c>
      <c r="P28" s="49"/>
    </row>
    <row r="29" spans="1:16" s="48" customFormat="1" ht="19.5" customHeight="1">
      <c r="A29" s="45">
        <f t="shared" si="0"/>
        <v>15</v>
      </c>
      <c r="B29" s="35">
        <v>2018031603</v>
      </c>
      <c r="C29" s="37" t="str">
        <f>IFERROR(VLOOKUP(B29,HR_data!$B:$C,2,0),"(no result)")</f>
        <v>Châu Thị Cẩm Xuyến</v>
      </c>
      <c r="D29" s="46">
        <v>43941</v>
      </c>
      <c r="E29" s="45" t="s">
        <v>138</v>
      </c>
      <c r="F29" s="45" t="s">
        <v>167</v>
      </c>
      <c r="G29" s="45" t="s">
        <v>175</v>
      </c>
      <c r="H29" s="45" t="s">
        <v>230</v>
      </c>
      <c r="I29" s="65" t="s">
        <v>151</v>
      </c>
      <c r="J29" s="45" t="s">
        <v>200</v>
      </c>
      <c r="K29" s="40" t="s">
        <v>146</v>
      </c>
      <c r="L29" s="40" t="s">
        <v>146</v>
      </c>
      <c r="M29" s="45">
        <v>99</v>
      </c>
      <c r="N29" s="45">
        <v>84</v>
      </c>
      <c r="O29" s="45" t="s">
        <v>43</v>
      </c>
      <c r="P29" s="49"/>
    </row>
    <row r="30" spans="1:16" s="48" customFormat="1" ht="19.5" customHeight="1">
      <c r="A30" s="45">
        <f t="shared" si="0"/>
        <v>16</v>
      </c>
      <c r="B30" s="35">
        <v>2019021907</v>
      </c>
      <c r="C30" s="37" t="str">
        <f>IFERROR(VLOOKUP(B30,HR_data!$B:$C,2,0),"(no result)")</f>
        <v>Nguyễn Thị Nhớ</v>
      </c>
      <c r="D30" s="46">
        <v>43941</v>
      </c>
      <c r="E30" s="45" t="s">
        <v>138</v>
      </c>
      <c r="F30" s="45" t="s">
        <v>167</v>
      </c>
      <c r="G30" s="45" t="s">
        <v>175</v>
      </c>
      <c r="H30" s="45" t="s">
        <v>230</v>
      </c>
      <c r="I30" s="65" t="s">
        <v>154</v>
      </c>
      <c r="J30" s="45" t="s">
        <v>228</v>
      </c>
      <c r="K30" s="40" t="s">
        <v>149</v>
      </c>
      <c r="L30" s="40" t="s">
        <v>183</v>
      </c>
      <c r="M30" s="45">
        <v>83</v>
      </c>
      <c r="N30" s="45">
        <v>83</v>
      </c>
      <c r="O30" s="45" t="s">
        <v>43</v>
      </c>
      <c r="P30" s="49"/>
    </row>
    <row r="31" spans="1:16" s="48" customFormat="1" ht="19.5" customHeight="1">
      <c r="A31" s="45">
        <f t="shared" si="0"/>
        <v>17</v>
      </c>
      <c r="B31" s="35">
        <v>2020031608</v>
      </c>
      <c r="C31" s="37" t="str">
        <f>IFERROR(VLOOKUP(B31,HR_data!$B:$C,2,0),"(no result)")</f>
        <v>Nguyễn Phú Đức</v>
      </c>
      <c r="D31" s="46">
        <v>43941</v>
      </c>
      <c r="E31" s="45" t="s">
        <v>138</v>
      </c>
      <c r="F31" s="45" t="s">
        <v>167</v>
      </c>
      <c r="G31" s="45" t="s">
        <v>175</v>
      </c>
      <c r="H31" s="45" t="s">
        <v>230</v>
      </c>
      <c r="I31" s="65" t="s">
        <v>212</v>
      </c>
      <c r="J31" s="45" t="s">
        <v>213</v>
      </c>
      <c r="K31" s="40" t="s">
        <v>186</v>
      </c>
      <c r="L31" s="40" t="s">
        <v>186</v>
      </c>
      <c r="M31" s="45">
        <v>74</v>
      </c>
      <c r="N31" s="45">
        <v>51</v>
      </c>
      <c r="O31" s="45" t="s">
        <v>43</v>
      </c>
      <c r="P31" s="49"/>
    </row>
    <row r="32" spans="1:16" s="48" customFormat="1" ht="19.5" customHeight="1">
      <c r="A32" s="45">
        <f t="shared" si="0"/>
        <v>18</v>
      </c>
      <c r="B32" s="35">
        <v>2020032306</v>
      </c>
      <c r="C32" s="37" t="str">
        <f>IFERROR(VLOOKUP(B32,HR_data!$B:$C,2,0),"(no result)")</f>
        <v>Lê Quang Tuyến</v>
      </c>
      <c r="D32" s="46">
        <v>43941</v>
      </c>
      <c r="E32" s="45" t="s">
        <v>138</v>
      </c>
      <c r="F32" s="45" t="s">
        <v>167</v>
      </c>
      <c r="G32" s="45" t="s">
        <v>175</v>
      </c>
      <c r="H32" s="45" t="s">
        <v>230</v>
      </c>
      <c r="I32" s="65" t="s">
        <v>155</v>
      </c>
      <c r="J32" s="45" t="s">
        <v>225</v>
      </c>
      <c r="K32" s="40" t="s">
        <v>149</v>
      </c>
      <c r="L32" s="40" t="s">
        <v>149</v>
      </c>
      <c r="M32" s="45">
        <v>82</v>
      </c>
      <c r="N32" s="45">
        <v>97</v>
      </c>
      <c r="O32" s="45" t="s">
        <v>43</v>
      </c>
      <c r="P32" s="49"/>
    </row>
    <row r="33" spans="1:16" s="48" customFormat="1" ht="19.5" customHeight="1">
      <c r="A33" s="45">
        <f t="shared" si="0"/>
        <v>19</v>
      </c>
      <c r="B33" s="35">
        <v>2017101610</v>
      </c>
      <c r="C33" s="37" t="str">
        <f>IFERROR(VLOOKUP(B33,HR_data!$B:$C,2,0),"(no result)")</f>
        <v>Lý Thị Duyên</v>
      </c>
      <c r="D33" s="46">
        <v>43941</v>
      </c>
      <c r="E33" s="45" t="s">
        <v>138</v>
      </c>
      <c r="F33" s="45" t="s">
        <v>167</v>
      </c>
      <c r="G33" s="45" t="s">
        <v>175</v>
      </c>
      <c r="H33" s="45" t="s">
        <v>230</v>
      </c>
      <c r="I33" s="45" t="s">
        <v>156</v>
      </c>
      <c r="J33" s="45" t="s">
        <v>205</v>
      </c>
      <c r="K33" s="40" t="s">
        <v>152</v>
      </c>
      <c r="L33" s="40" t="s">
        <v>153</v>
      </c>
      <c r="M33" s="45">
        <v>169</v>
      </c>
      <c r="N33" s="45">
        <v>155</v>
      </c>
      <c r="O33" s="45" t="s">
        <v>43</v>
      </c>
      <c r="P33" s="49"/>
    </row>
    <row r="34" spans="1:16" s="48" customFormat="1" ht="19.5" customHeight="1">
      <c r="A34" s="45">
        <f t="shared" si="0"/>
        <v>20</v>
      </c>
      <c r="B34" s="35">
        <v>2017092605</v>
      </c>
      <c r="C34" s="37" t="str">
        <f>IFERROR(VLOOKUP(B34,HR_data!$B:$C,2,0),"(no result)")</f>
        <v>Phạm Thị Bích Huyền</v>
      </c>
      <c r="D34" s="46">
        <v>43941</v>
      </c>
      <c r="E34" s="45" t="s">
        <v>138</v>
      </c>
      <c r="F34" s="45" t="s">
        <v>167</v>
      </c>
      <c r="G34" s="45" t="s">
        <v>175</v>
      </c>
      <c r="H34" s="45" t="s">
        <v>230</v>
      </c>
      <c r="I34" s="45" t="s">
        <v>156</v>
      </c>
      <c r="J34" s="45" t="s">
        <v>205</v>
      </c>
      <c r="K34" s="40" t="s">
        <v>152</v>
      </c>
      <c r="L34" s="40" t="s">
        <v>153</v>
      </c>
      <c r="M34" s="45">
        <v>169</v>
      </c>
      <c r="N34" s="45">
        <v>169</v>
      </c>
      <c r="O34" s="45" t="s">
        <v>43</v>
      </c>
      <c r="P34" s="49"/>
    </row>
    <row r="35" spans="1:16" s="48" customFormat="1" ht="20.25" customHeight="1">
      <c r="A35" s="45">
        <f t="shared" si="0"/>
        <v>21</v>
      </c>
      <c r="B35" s="35">
        <v>2019030502</v>
      </c>
      <c r="C35" s="37" t="str">
        <f>IFERROR(VLOOKUP(B35,HR_data!$B:$C,2,0),"(no result)")</f>
        <v>Nguyễn Thị Hồng Yến</v>
      </c>
      <c r="D35" s="46">
        <v>43941</v>
      </c>
      <c r="E35" s="45" t="s">
        <v>138</v>
      </c>
      <c r="F35" s="45" t="s">
        <v>167</v>
      </c>
      <c r="G35" s="45" t="s">
        <v>175</v>
      </c>
      <c r="H35" s="45" t="s">
        <v>230</v>
      </c>
      <c r="I35" s="45" t="s">
        <v>216</v>
      </c>
      <c r="J35" s="45" t="s">
        <v>217</v>
      </c>
      <c r="K35" s="40" t="s">
        <v>186</v>
      </c>
      <c r="L35" s="40" t="s">
        <v>186</v>
      </c>
      <c r="M35" s="45">
        <v>44</v>
      </c>
      <c r="N35" s="45">
        <v>34</v>
      </c>
      <c r="O35" s="45" t="s">
        <v>43</v>
      </c>
      <c r="P35" s="49"/>
    </row>
    <row r="36" spans="1:16" s="48" customFormat="1" ht="18.75" customHeight="1">
      <c r="A36" s="45">
        <f t="shared" si="0"/>
        <v>22</v>
      </c>
      <c r="B36" s="35">
        <v>2018031528</v>
      </c>
      <c r="C36" s="37" t="str">
        <f>IFERROR(VLOOKUP(B36,HR_data!$B:$C,2,0),"(no result)")</f>
        <v>Huỳnh Thị Yến</v>
      </c>
      <c r="D36" s="46">
        <v>43941</v>
      </c>
      <c r="E36" s="45" t="s">
        <v>138</v>
      </c>
      <c r="F36" s="45" t="s">
        <v>167</v>
      </c>
      <c r="G36" s="45" t="s">
        <v>175</v>
      </c>
      <c r="H36" s="45" t="s">
        <v>230</v>
      </c>
      <c r="I36" s="45" t="s">
        <v>159</v>
      </c>
      <c r="J36" s="45" t="s">
        <v>173</v>
      </c>
      <c r="K36" s="40" t="s">
        <v>146</v>
      </c>
      <c r="L36" s="40" t="s">
        <v>146</v>
      </c>
      <c r="M36" s="45">
        <v>17</v>
      </c>
      <c r="N36" s="45">
        <v>21</v>
      </c>
      <c r="O36" s="45" t="s">
        <v>137</v>
      </c>
      <c r="P36" s="49"/>
    </row>
    <row r="37" spans="1:16" s="48" customFormat="1" ht="20.25" customHeight="1">
      <c r="A37" s="45">
        <f t="shared" si="0"/>
        <v>23</v>
      </c>
      <c r="B37" s="35">
        <v>2018031528</v>
      </c>
      <c r="C37" s="37" t="str">
        <f>IFERROR(VLOOKUP(B37,HR_data!$B:$C,2,0),"(no result)")</f>
        <v>Huỳnh Thị Yến</v>
      </c>
      <c r="D37" s="46">
        <v>43941</v>
      </c>
      <c r="E37" s="45" t="s">
        <v>138</v>
      </c>
      <c r="F37" s="45" t="s">
        <v>167</v>
      </c>
      <c r="G37" s="45" t="s">
        <v>175</v>
      </c>
      <c r="H37" s="45" t="s">
        <v>230</v>
      </c>
      <c r="I37" s="45" t="s">
        <v>159</v>
      </c>
      <c r="J37" s="45" t="s">
        <v>187</v>
      </c>
      <c r="K37" s="40" t="s">
        <v>157</v>
      </c>
      <c r="L37" s="40" t="s">
        <v>158</v>
      </c>
      <c r="M37" s="45">
        <v>48</v>
      </c>
      <c r="N37" s="45">
        <v>39</v>
      </c>
      <c r="O37" s="45" t="s">
        <v>43</v>
      </c>
      <c r="P37" s="49"/>
    </row>
    <row r="38" spans="1:16" s="48" customFormat="1" ht="19.5" customHeight="1">
      <c r="A38" s="45">
        <f t="shared" si="0"/>
        <v>24</v>
      </c>
      <c r="B38" s="35">
        <v>2020021722</v>
      </c>
      <c r="C38" s="37" t="str">
        <f>IFERROR(VLOOKUP(B38,HR_data!$B:$C,2,0),"(no result)")</f>
        <v>Lê Ngọc Thủy</v>
      </c>
      <c r="D38" s="46">
        <v>43941</v>
      </c>
      <c r="E38" s="45" t="s">
        <v>138</v>
      </c>
      <c r="F38" s="45" t="s">
        <v>167</v>
      </c>
      <c r="G38" s="45" t="s">
        <v>175</v>
      </c>
      <c r="H38" s="45" t="s">
        <v>230</v>
      </c>
      <c r="I38" s="45" t="s">
        <v>208</v>
      </c>
      <c r="J38" s="45" t="s">
        <v>218</v>
      </c>
      <c r="K38" s="40" t="s">
        <v>209</v>
      </c>
      <c r="L38" s="40" t="s">
        <v>210</v>
      </c>
      <c r="M38" s="45">
        <v>30</v>
      </c>
      <c r="N38" s="45">
        <v>32</v>
      </c>
      <c r="O38" s="45" t="s">
        <v>43</v>
      </c>
      <c r="P38" s="49"/>
    </row>
    <row r="39" spans="1:16" s="48" customFormat="1" ht="20.25" customHeight="1">
      <c r="A39" s="45">
        <f t="shared" si="0"/>
        <v>25</v>
      </c>
      <c r="B39" s="35">
        <v>2020021722</v>
      </c>
      <c r="C39" s="37" t="str">
        <f>IFERROR(VLOOKUP(B39,HR_data!$B:$C,2,0),"(no result)")</f>
        <v>Lê Ngọc Thủy</v>
      </c>
      <c r="D39" s="46">
        <v>43941</v>
      </c>
      <c r="E39" s="45" t="s">
        <v>138</v>
      </c>
      <c r="F39" s="45" t="s">
        <v>167</v>
      </c>
      <c r="G39" s="45" t="s">
        <v>175</v>
      </c>
      <c r="H39" s="45" t="s">
        <v>230</v>
      </c>
      <c r="I39" s="45" t="s">
        <v>159</v>
      </c>
      <c r="J39" s="45" t="s">
        <v>219</v>
      </c>
      <c r="K39" s="40" t="s">
        <v>149</v>
      </c>
      <c r="L39" s="40" t="s">
        <v>149</v>
      </c>
      <c r="M39" s="45">
        <v>41</v>
      </c>
      <c r="N39" s="45">
        <v>44</v>
      </c>
      <c r="O39" s="45" t="s">
        <v>137</v>
      </c>
      <c r="P39" s="49"/>
    </row>
    <row r="40" spans="1:16" s="48" customFormat="1" ht="19.5" customHeight="1">
      <c r="A40" s="45">
        <f t="shared" si="0"/>
        <v>26</v>
      </c>
      <c r="B40" s="35">
        <v>2017082502</v>
      </c>
      <c r="C40" s="37" t="str">
        <f>IFERROR(VLOOKUP(B40,HR_data!$B:$C,2,0),"(no result)")</f>
        <v>Võ Thị Kim Quyên</v>
      </c>
      <c r="D40" s="46">
        <v>43941</v>
      </c>
      <c r="E40" s="45" t="s">
        <v>138</v>
      </c>
      <c r="F40" s="45" t="s">
        <v>167</v>
      </c>
      <c r="G40" s="45" t="s">
        <v>175</v>
      </c>
      <c r="H40" s="45" t="s">
        <v>230</v>
      </c>
      <c r="I40" s="45" t="s">
        <v>160</v>
      </c>
      <c r="J40" s="45" t="s">
        <v>201</v>
      </c>
      <c r="K40" s="40" t="s">
        <v>149</v>
      </c>
      <c r="L40" s="40" t="s">
        <v>183</v>
      </c>
      <c r="M40" s="45">
        <v>27</v>
      </c>
      <c r="N40" s="45">
        <v>27</v>
      </c>
      <c r="O40" s="45" t="s">
        <v>137</v>
      </c>
      <c r="P40" s="49"/>
    </row>
    <row r="41" spans="1:16" s="48" customFormat="1" ht="19.5" customHeight="1">
      <c r="A41" s="45">
        <f t="shared" si="0"/>
        <v>27</v>
      </c>
      <c r="B41" s="35">
        <v>2017082502</v>
      </c>
      <c r="C41" s="37" t="str">
        <f>IFERROR(VLOOKUP(B41,HR_data!$B:$C,2,0),"(no result)")</f>
        <v>Võ Thị Kim Quyên</v>
      </c>
      <c r="D41" s="46">
        <v>43941</v>
      </c>
      <c r="E41" s="45" t="s">
        <v>138</v>
      </c>
      <c r="F41" s="45" t="s">
        <v>167</v>
      </c>
      <c r="G41" s="45" t="s">
        <v>175</v>
      </c>
      <c r="H41" s="45" t="s">
        <v>230</v>
      </c>
      <c r="I41" s="45" t="s">
        <v>160</v>
      </c>
      <c r="J41" s="45" t="s">
        <v>202</v>
      </c>
      <c r="K41" s="40" t="s">
        <v>152</v>
      </c>
      <c r="L41" s="40" t="s">
        <v>153</v>
      </c>
      <c r="M41" s="45">
        <v>53</v>
      </c>
      <c r="N41" s="45">
        <v>50</v>
      </c>
      <c r="O41" s="45" t="s">
        <v>43</v>
      </c>
      <c r="P41" s="49"/>
    </row>
    <row r="42" spans="1:16" s="48" customFormat="1" ht="19.5" customHeight="1">
      <c r="A42" s="45">
        <f t="shared" si="0"/>
        <v>28</v>
      </c>
      <c r="B42" s="35">
        <v>2019030104</v>
      </c>
      <c r="C42" s="37" t="str">
        <f>IFERROR(VLOOKUP(B42,HR_data!$B:$C,2,0),"(no result)")</f>
        <v>Nguyễn Trúc Ly</v>
      </c>
      <c r="D42" s="46">
        <v>43941</v>
      </c>
      <c r="E42" s="45" t="s">
        <v>138</v>
      </c>
      <c r="F42" s="45" t="s">
        <v>167</v>
      </c>
      <c r="G42" s="45" t="s">
        <v>175</v>
      </c>
      <c r="H42" s="45" t="s">
        <v>230</v>
      </c>
      <c r="I42" s="45" t="s">
        <v>161</v>
      </c>
      <c r="J42" s="45" t="s">
        <v>188</v>
      </c>
      <c r="K42" s="40" t="s">
        <v>150</v>
      </c>
      <c r="L42" s="40" t="s">
        <v>150</v>
      </c>
      <c r="M42" s="45">
        <v>58</v>
      </c>
      <c r="N42" s="45">
        <v>40</v>
      </c>
      <c r="O42" s="45" t="s">
        <v>43</v>
      </c>
      <c r="P42" s="49"/>
    </row>
    <row r="43" spans="1:16" s="48" customFormat="1" ht="19.5" customHeight="1">
      <c r="A43" s="45">
        <f t="shared" si="0"/>
        <v>29</v>
      </c>
      <c r="B43" s="35">
        <v>2019030104</v>
      </c>
      <c r="C43" s="37" t="str">
        <f>IFERROR(VLOOKUP(B43,HR_data!$B:$C,2,0),"(no result)")</f>
        <v>Nguyễn Trúc Ly</v>
      </c>
      <c r="D43" s="46">
        <v>43941</v>
      </c>
      <c r="E43" s="45" t="s">
        <v>138</v>
      </c>
      <c r="F43" s="45" t="s">
        <v>167</v>
      </c>
      <c r="G43" s="45" t="s">
        <v>175</v>
      </c>
      <c r="H43" s="45" t="s">
        <v>230</v>
      </c>
      <c r="I43" s="45" t="s">
        <v>161</v>
      </c>
      <c r="J43" s="45" t="s">
        <v>220</v>
      </c>
      <c r="K43" s="40" t="s">
        <v>209</v>
      </c>
      <c r="L43" s="40" t="s">
        <v>210</v>
      </c>
      <c r="M43" s="45">
        <v>25</v>
      </c>
      <c r="N43" s="45">
        <v>24</v>
      </c>
      <c r="O43" s="45" t="s">
        <v>137</v>
      </c>
      <c r="P43" s="49"/>
    </row>
    <row r="44" spans="1:16" s="48" customFormat="1" ht="19.5" customHeight="1">
      <c r="A44" s="45">
        <f t="shared" si="0"/>
        <v>30</v>
      </c>
      <c r="B44" s="35">
        <v>2018092403</v>
      </c>
      <c r="C44" s="37" t="str">
        <f>IFERROR(VLOOKUP(B44,HR_data!$B:$C,2,0),"(no result)")</f>
        <v>Bùi Thị Hồng Hoa</v>
      </c>
      <c r="D44" s="46">
        <v>43941</v>
      </c>
      <c r="E44" s="45" t="s">
        <v>138</v>
      </c>
      <c r="F44" s="45" t="s">
        <v>167</v>
      </c>
      <c r="G44" s="45" t="s">
        <v>175</v>
      </c>
      <c r="H44" s="45" t="s">
        <v>230</v>
      </c>
      <c r="I44" s="45" t="s">
        <v>171</v>
      </c>
      <c r="J44" s="45" t="s">
        <v>189</v>
      </c>
      <c r="K44" s="40" t="s">
        <v>152</v>
      </c>
      <c r="L44" s="40" t="s">
        <v>153</v>
      </c>
      <c r="M44" s="45">
        <v>73</v>
      </c>
      <c r="N44" s="45">
        <v>82</v>
      </c>
      <c r="O44" s="45" t="s">
        <v>43</v>
      </c>
      <c r="P44" s="49"/>
    </row>
    <row r="45" spans="1:16" s="48" customFormat="1" ht="19.5" customHeight="1">
      <c r="A45" s="45">
        <f t="shared" si="0"/>
        <v>31</v>
      </c>
      <c r="B45" s="35">
        <v>2018030803</v>
      </c>
      <c r="C45" s="37" t="str">
        <f>IFERROR(VLOOKUP(B45,HR_data!$B:$C,2,0),"(no result)")</f>
        <v>Lý Thị Bích Ly</v>
      </c>
      <c r="D45" s="46">
        <v>43941</v>
      </c>
      <c r="E45" s="45" t="s">
        <v>138</v>
      </c>
      <c r="F45" s="45" t="s">
        <v>167</v>
      </c>
      <c r="G45" s="45" t="s">
        <v>175</v>
      </c>
      <c r="H45" s="45" t="s">
        <v>230</v>
      </c>
      <c r="I45" s="45" t="s">
        <v>190</v>
      </c>
      <c r="J45" s="45" t="s">
        <v>191</v>
      </c>
      <c r="K45" s="40" t="s">
        <v>152</v>
      </c>
      <c r="L45" s="40" t="s">
        <v>153</v>
      </c>
      <c r="M45" s="45">
        <v>76</v>
      </c>
      <c r="N45" s="45">
        <v>65</v>
      </c>
      <c r="O45" s="45" t="s">
        <v>43</v>
      </c>
      <c r="P45" s="49"/>
    </row>
    <row r="46" spans="1:16" s="48" customFormat="1" ht="20.100000000000001" customHeight="1">
      <c r="A46" s="45">
        <f t="shared" si="0"/>
        <v>32</v>
      </c>
      <c r="B46" s="35">
        <v>2019032603</v>
      </c>
      <c r="C46" s="37" t="str">
        <f>IFERROR(VLOOKUP(B46,HR_data!$B:$C,2,0),"(no result)")</f>
        <v>Lê Thị Thuyên Trúc</v>
      </c>
      <c r="D46" s="46">
        <v>43941</v>
      </c>
      <c r="E46" s="45" t="s">
        <v>138</v>
      </c>
      <c r="F46" s="45" t="s">
        <v>167</v>
      </c>
      <c r="G46" s="45" t="s">
        <v>175</v>
      </c>
      <c r="H46" s="45" t="s">
        <v>230</v>
      </c>
      <c r="I46" s="45" t="s">
        <v>172</v>
      </c>
      <c r="J46" s="45" t="s">
        <v>192</v>
      </c>
      <c r="K46" s="40" t="s">
        <v>152</v>
      </c>
      <c r="L46" s="40" t="s">
        <v>153</v>
      </c>
      <c r="M46" s="45">
        <v>85</v>
      </c>
      <c r="N46" s="45">
        <v>52</v>
      </c>
      <c r="O46" s="45" t="s">
        <v>43</v>
      </c>
      <c r="P46" s="49"/>
    </row>
    <row r="47" spans="1:16" s="48" customFormat="1" ht="20.100000000000001" customHeight="1">
      <c r="A47" s="45">
        <f t="shared" si="0"/>
        <v>33</v>
      </c>
      <c r="B47" s="35">
        <v>2017101104</v>
      </c>
      <c r="C47" s="37" t="str">
        <f>IFERROR(VLOOKUP(B47,HR_data!$B:$C,2,0),"(no result)")</f>
        <v>Đoàn Thị Mỹ Nương</v>
      </c>
      <c r="D47" s="46">
        <v>43941</v>
      </c>
      <c r="E47" s="45" t="s">
        <v>138</v>
      </c>
      <c r="F47" s="45" t="s">
        <v>167</v>
      </c>
      <c r="G47" s="45" t="s">
        <v>175</v>
      </c>
      <c r="H47" s="45" t="s">
        <v>230</v>
      </c>
      <c r="I47" s="45" t="s">
        <v>162</v>
      </c>
      <c r="J47" s="45" t="s">
        <v>226</v>
      </c>
      <c r="K47" s="40" t="s">
        <v>149</v>
      </c>
      <c r="L47" s="40" t="s">
        <v>193</v>
      </c>
      <c r="M47" s="45">
        <v>101</v>
      </c>
      <c r="N47" s="45">
        <v>65</v>
      </c>
      <c r="O47" s="45" t="s">
        <v>137</v>
      </c>
      <c r="P47" s="49"/>
    </row>
    <row r="48" spans="1:16" s="48" customFormat="1" ht="20.100000000000001" customHeight="1">
      <c r="A48" s="45">
        <f t="shared" si="0"/>
        <v>34</v>
      </c>
      <c r="B48" s="35">
        <v>2017101104</v>
      </c>
      <c r="C48" s="37" t="str">
        <f>IFERROR(VLOOKUP(B48,HR_data!$B:$C,2,0),"(no result)")</f>
        <v>Đoàn Thị Mỹ Nương</v>
      </c>
      <c r="D48" s="46">
        <v>43941</v>
      </c>
      <c r="E48" s="45" t="s">
        <v>138</v>
      </c>
      <c r="F48" s="45" t="s">
        <v>167</v>
      </c>
      <c r="G48" s="45" t="s">
        <v>175</v>
      </c>
      <c r="H48" s="45" t="s">
        <v>230</v>
      </c>
      <c r="I48" s="45" t="s">
        <v>162</v>
      </c>
      <c r="J48" s="45" t="s">
        <v>206</v>
      </c>
      <c r="K48" s="40" t="s">
        <v>196</v>
      </c>
      <c r="L48" s="40" t="s">
        <v>149</v>
      </c>
      <c r="M48" s="45">
        <v>23</v>
      </c>
      <c r="N48" s="45">
        <v>27</v>
      </c>
      <c r="O48" s="45" t="s">
        <v>43</v>
      </c>
      <c r="P48" s="49"/>
    </row>
    <row r="49" spans="1:17" s="48" customFormat="1" ht="20.100000000000001" customHeight="1">
      <c r="A49" s="45">
        <f t="shared" si="0"/>
        <v>35</v>
      </c>
      <c r="B49" s="35">
        <v>2020031903</v>
      </c>
      <c r="C49" s="37" t="str">
        <f>IFERROR(VLOOKUP(B49,HR_data!$B:$C,2,0),"(no result)")</f>
        <v>Trần Phước Lộc</v>
      </c>
      <c r="D49" s="46">
        <v>43941</v>
      </c>
      <c r="E49" s="45" t="s">
        <v>138</v>
      </c>
      <c r="F49" s="45" t="s">
        <v>167</v>
      </c>
      <c r="G49" s="45" t="s">
        <v>175</v>
      </c>
      <c r="H49" s="45" t="s">
        <v>230</v>
      </c>
      <c r="I49" s="45" t="s">
        <v>162</v>
      </c>
      <c r="J49" s="45" t="s">
        <v>226</v>
      </c>
      <c r="K49" s="40" t="s">
        <v>149</v>
      </c>
      <c r="L49" s="40" t="s">
        <v>193</v>
      </c>
      <c r="M49" s="45">
        <v>101</v>
      </c>
      <c r="N49" s="45">
        <v>71</v>
      </c>
      <c r="O49" s="45" t="s">
        <v>137</v>
      </c>
      <c r="P49" s="49"/>
    </row>
    <row r="50" spans="1:17" s="48" customFormat="1" ht="20.100000000000001" customHeight="1">
      <c r="A50" s="45">
        <f t="shared" si="0"/>
        <v>36</v>
      </c>
      <c r="B50" s="35">
        <v>2020031903</v>
      </c>
      <c r="C50" s="37" t="str">
        <f>IFERROR(VLOOKUP(B50,HR_data!$B:$C,2,0),"(no result)")</f>
        <v>Trần Phước Lộc</v>
      </c>
      <c r="D50" s="46">
        <v>43941</v>
      </c>
      <c r="E50" s="45" t="s">
        <v>138</v>
      </c>
      <c r="F50" s="45" t="s">
        <v>167</v>
      </c>
      <c r="G50" s="45" t="s">
        <v>175</v>
      </c>
      <c r="H50" s="45" t="s">
        <v>230</v>
      </c>
      <c r="I50" s="45" t="s">
        <v>162</v>
      </c>
      <c r="J50" s="45" t="s">
        <v>206</v>
      </c>
      <c r="K50" s="40" t="s">
        <v>196</v>
      </c>
      <c r="L50" s="40" t="s">
        <v>149</v>
      </c>
      <c r="M50" s="45">
        <v>23</v>
      </c>
      <c r="N50" s="45">
        <v>29</v>
      </c>
      <c r="O50" s="45" t="s">
        <v>43</v>
      </c>
      <c r="P50" s="49"/>
    </row>
    <row r="51" spans="1:17" s="48" customFormat="1" ht="21.75" customHeight="1">
      <c r="A51" s="45">
        <f t="shared" si="0"/>
        <v>37</v>
      </c>
      <c r="B51" s="35">
        <v>2017100215</v>
      </c>
      <c r="C51" s="37" t="str">
        <f>IFERROR(VLOOKUP(B51,HR_data!$B:$C,2,0),"(no result)")</f>
        <v>Ngô Thị Mộng Xoàn</v>
      </c>
      <c r="D51" s="46">
        <v>43941</v>
      </c>
      <c r="E51" s="45" t="s">
        <v>138</v>
      </c>
      <c r="F51" s="45" t="s">
        <v>167</v>
      </c>
      <c r="G51" s="45" t="s">
        <v>175</v>
      </c>
      <c r="H51" s="45" t="s">
        <v>230</v>
      </c>
      <c r="I51" s="45" t="s">
        <v>169</v>
      </c>
      <c r="J51" s="45" t="s">
        <v>194</v>
      </c>
      <c r="K51" s="40" t="s">
        <v>152</v>
      </c>
      <c r="L51" s="40" t="s">
        <v>153</v>
      </c>
      <c r="M51" s="45">
        <v>56</v>
      </c>
      <c r="N51" s="45">
        <v>70</v>
      </c>
      <c r="O51" s="45" t="s">
        <v>43</v>
      </c>
      <c r="P51" s="49"/>
    </row>
    <row r="52" spans="1:17" s="48" customFormat="1" ht="20.100000000000001" customHeight="1">
      <c r="A52" s="45">
        <f t="shared" si="0"/>
        <v>38</v>
      </c>
      <c r="B52" s="35">
        <v>2017100215</v>
      </c>
      <c r="C52" s="37" t="str">
        <f>IFERROR(VLOOKUP(B52,HR_data!$B:$C,2,0),"(no result)")</f>
        <v>Ngô Thị Mộng Xoàn</v>
      </c>
      <c r="D52" s="46">
        <v>43941</v>
      </c>
      <c r="E52" s="45" t="s">
        <v>138</v>
      </c>
      <c r="F52" s="45" t="s">
        <v>167</v>
      </c>
      <c r="G52" s="45" t="s">
        <v>175</v>
      </c>
      <c r="H52" s="45" t="s">
        <v>230</v>
      </c>
      <c r="I52" s="45" t="s">
        <v>169</v>
      </c>
      <c r="J52" s="45" t="s">
        <v>195</v>
      </c>
      <c r="K52" s="40" t="s">
        <v>149</v>
      </c>
      <c r="L52" s="40" t="s">
        <v>149</v>
      </c>
      <c r="M52" s="45">
        <v>27</v>
      </c>
      <c r="N52" s="45">
        <v>14</v>
      </c>
      <c r="O52" s="45" t="s">
        <v>137</v>
      </c>
      <c r="P52" s="49"/>
    </row>
    <row r="53" spans="1:17" s="48" customFormat="1" ht="20.100000000000001" customHeight="1">
      <c r="A53" s="45"/>
      <c r="B53" s="35"/>
      <c r="C53" s="37"/>
      <c r="D53" s="46"/>
      <c r="E53" s="45"/>
      <c r="F53" s="45"/>
      <c r="G53" s="45"/>
      <c r="H53" s="45"/>
      <c r="I53" s="45"/>
      <c r="J53" s="45"/>
      <c r="K53" s="40"/>
      <c r="L53" s="40"/>
      <c r="M53" s="45"/>
      <c r="N53" s="45"/>
      <c r="O53" s="45"/>
      <c r="P53" s="49"/>
    </row>
    <row r="54" spans="1:17" s="36" customFormat="1" ht="20.100000000000001" customHeight="1">
      <c r="A54" s="45"/>
      <c r="B54" s="45"/>
      <c r="C54" s="45"/>
      <c r="D54" s="46"/>
      <c r="E54" s="45"/>
      <c r="F54" s="45"/>
      <c r="G54" s="45"/>
      <c r="H54" s="45"/>
      <c r="I54" s="45"/>
      <c r="J54" s="45"/>
      <c r="K54" s="40"/>
      <c r="L54" s="40"/>
      <c r="M54" s="45"/>
      <c r="N54" s="45"/>
      <c r="O54" s="45"/>
      <c r="P54" s="49"/>
      <c r="Q54" s="48"/>
    </row>
    <row r="55" spans="1:17" s="36" customFormat="1" ht="20.100000000000001" customHeight="1">
      <c r="A55" s="45"/>
      <c r="B55" s="45"/>
      <c r="C55" s="45"/>
      <c r="D55" s="46"/>
      <c r="E55" s="45"/>
      <c r="F55" s="45"/>
      <c r="G55" s="45"/>
      <c r="H55" s="45"/>
      <c r="I55" s="45"/>
      <c r="J55" s="45"/>
      <c r="K55" s="40"/>
      <c r="L55" s="40"/>
      <c r="M55" s="45"/>
      <c r="N55" s="45"/>
      <c r="O55" s="45"/>
      <c r="P55" s="49"/>
      <c r="Q55" s="48"/>
    </row>
    <row r="56" spans="1:17" s="36" customFormat="1" ht="20.100000000000001" customHeight="1">
      <c r="A56" s="45"/>
      <c r="B56" s="45"/>
      <c r="C56" s="45"/>
      <c r="D56" s="46"/>
      <c r="E56" s="45"/>
      <c r="F56" s="45"/>
      <c r="G56" s="45"/>
      <c r="H56" s="45"/>
      <c r="I56" s="45"/>
      <c r="J56" s="45"/>
      <c r="K56" s="40"/>
      <c r="L56" s="40"/>
      <c r="M56" s="45"/>
      <c r="N56" s="45"/>
      <c r="O56" s="45"/>
      <c r="P56" s="49"/>
      <c r="Q56" s="48"/>
    </row>
    <row r="57" spans="1:17" s="36" customFormat="1" ht="20.100000000000001" customHeight="1">
      <c r="A57" s="45"/>
      <c r="B57" s="45"/>
      <c r="C57" s="45"/>
      <c r="D57" s="46"/>
      <c r="E57" s="45"/>
      <c r="F57" s="45"/>
      <c r="G57" s="45"/>
      <c r="H57" s="45"/>
      <c r="I57" s="45"/>
      <c r="J57" s="45"/>
      <c r="K57" s="40"/>
      <c r="L57" s="40"/>
      <c r="M57" s="45"/>
      <c r="N57" s="45"/>
      <c r="O57" s="45"/>
      <c r="P57" s="49"/>
      <c r="Q57" s="48"/>
    </row>
    <row r="58" spans="1:17" s="36" customFormat="1" ht="20.100000000000001" customHeight="1">
      <c r="A58" s="45"/>
      <c r="B58" s="45"/>
      <c r="C58" s="45"/>
      <c r="D58" s="46"/>
      <c r="E58" s="45"/>
      <c r="F58" s="45"/>
      <c r="G58" s="45"/>
      <c r="H58" s="45"/>
      <c r="I58" s="45"/>
      <c r="J58" s="45"/>
      <c r="K58" s="40"/>
      <c r="L58" s="40"/>
      <c r="M58" s="45"/>
      <c r="N58" s="45"/>
      <c r="O58" s="45"/>
      <c r="P58" s="49"/>
      <c r="Q58" s="48"/>
    </row>
    <row r="59" spans="1:17" s="36" customFormat="1" ht="20.100000000000001" customHeight="1">
      <c r="A59" s="45"/>
      <c r="B59" s="45"/>
      <c r="C59" s="45"/>
      <c r="D59" s="46"/>
      <c r="E59" s="45"/>
      <c r="F59" s="45"/>
      <c r="G59" s="45"/>
      <c r="H59" s="45"/>
      <c r="I59" s="45"/>
      <c r="J59" s="45"/>
      <c r="K59" s="40"/>
      <c r="L59" s="40"/>
      <c r="M59" s="45"/>
      <c r="N59" s="45"/>
      <c r="O59" s="45"/>
      <c r="P59" s="49"/>
      <c r="Q59" s="48"/>
    </row>
    <row r="60" spans="1:17" s="36" customFormat="1" ht="20.100000000000001" customHeight="1">
      <c r="A60" s="45"/>
      <c r="B60" s="45"/>
      <c r="C60" s="45"/>
      <c r="D60" s="46"/>
      <c r="E60" s="45"/>
      <c r="F60" s="45"/>
      <c r="G60" s="45"/>
      <c r="H60" s="45"/>
      <c r="I60" s="45"/>
      <c r="J60" s="45"/>
      <c r="K60" s="40"/>
      <c r="L60" s="40"/>
      <c r="M60" s="45"/>
      <c r="N60" s="45"/>
      <c r="O60" s="45"/>
      <c r="P60" s="49"/>
      <c r="Q60" s="48"/>
    </row>
    <row r="61" spans="1:17" s="36" customFormat="1" ht="20.100000000000001" customHeight="1">
      <c r="A61" s="45"/>
      <c r="B61" s="45"/>
      <c r="C61" s="45"/>
      <c r="D61" s="46"/>
      <c r="E61" s="45"/>
      <c r="F61" s="45"/>
      <c r="G61" s="45"/>
      <c r="H61" s="45"/>
      <c r="I61" s="45"/>
      <c r="J61" s="45"/>
      <c r="K61" s="40"/>
      <c r="L61" s="40"/>
      <c r="M61" s="45"/>
      <c r="N61" s="45"/>
      <c r="O61" s="45"/>
      <c r="P61" s="49"/>
      <c r="Q61" s="48"/>
    </row>
    <row r="62" spans="1:17" s="36" customFormat="1" ht="20.100000000000001" customHeight="1">
      <c r="A62" s="45"/>
      <c r="B62" s="45"/>
      <c r="C62" s="45"/>
      <c r="D62" s="46"/>
      <c r="E62" s="45"/>
      <c r="F62" s="45"/>
      <c r="G62" s="45"/>
      <c r="H62" s="45"/>
      <c r="I62" s="45"/>
      <c r="J62" s="45"/>
      <c r="K62" s="40"/>
      <c r="L62" s="40"/>
      <c r="M62" s="45"/>
      <c r="N62" s="45"/>
      <c r="O62" s="45"/>
      <c r="P62" s="49"/>
      <c r="Q62" s="48"/>
    </row>
    <row r="63" spans="1:17" s="36" customFormat="1" ht="20.100000000000001" customHeight="1">
      <c r="A63" s="45"/>
      <c r="B63" s="45"/>
      <c r="C63" s="45"/>
      <c r="D63" s="46"/>
      <c r="E63" s="45"/>
      <c r="F63" s="45"/>
      <c r="G63" s="45"/>
      <c r="H63" s="45"/>
      <c r="I63" s="45"/>
      <c r="J63" s="45"/>
      <c r="K63" s="40"/>
      <c r="L63" s="40"/>
      <c r="M63" s="45"/>
      <c r="N63" s="45"/>
      <c r="O63" s="45"/>
      <c r="P63" s="49"/>
      <c r="Q63" s="48"/>
    </row>
    <row r="64" spans="1:17" s="36" customFormat="1" ht="20.100000000000001" customHeight="1">
      <c r="A64" s="45"/>
      <c r="B64" s="45"/>
      <c r="C64" s="45"/>
      <c r="D64" s="46"/>
      <c r="E64" s="45"/>
      <c r="F64" s="45"/>
      <c r="G64" s="45"/>
      <c r="H64" s="45"/>
      <c r="I64" s="45"/>
      <c r="J64" s="45"/>
      <c r="K64" s="40"/>
      <c r="L64" s="40"/>
      <c r="M64" s="45"/>
      <c r="N64" s="45"/>
      <c r="O64" s="45"/>
      <c r="P64" s="49"/>
      <c r="Q64" s="48"/>
    </row>
    <row r="65" spans="1:17" s="36" customFormat="1" ht="20.100000000000001" customHeight="1">
      <c r="A65" s="45"/>
      <c r="B65" s="45"/>
      <c r="C65" s="45"/>
      <c r="D65" s="46"/>
      <c r="E65" s="45"/>
      <c r="F65" s="45"/>
      <c r="G65" s="45"/>
      <c r="H65" s="45"/>
      <c r="I65" s="45"/>
      <c r="J65" s="45"/>
      <c r="K65" s="40"/>
      <c r="L65" s="40"/>
      <c r="M65" s="45"/>
      <c r="N65" s="45"/>
      <c r="O65" s="45"/>
      <c r="P65" s="49"/>
      <c r="Q65" s="48"/>
    </row>
    <row r="66" spans="1:17" s="36" customFormat="1" ht="20.100000000000001" customHeight="1">
      <c r="A66" s="45"/>
      <c r="B66" s="45"/>
      <c r="C66" s="45"/>
      <c r="D66" s="46"/>
      <c r="E66" s="45"/>
      <c r="F66" s="45"/>
      <c r="G66" s="45"/>
      <c r="H66" s="45"/>
      <c r="I66" s="45"/>
      <c r="J66" s="45"/>
      <c r="K66" s="40"/>
      <c r="L66" s="40"/>
      <c r="M66" s="45"/>
      <c r="N66" s="45"/>
      <c r="O66" s="45"/>
      <c r="P66" s="49"/>
      <c r="Q66" s="48"/>
    </row>
    <row r="67" spans="1:17" s="36" customFormat="1" ht="20.100000000000001" customHeight="1">
      <c r="A67" s="45"/>
      <c r="B67" s="45"/>
      <c r="C67" s="45"/>
      <c r="D67" s="46"/>
      <c r="E67" s="45"/>
      <c r="F67" s="45"/>
      <c r="G67" s="45"/>
      <c r="H67" s="45"/>
      <c r="I67" s="45"/>
      <c r="J67" s="45"/>
      <c r="K67" s="40"/>
      <c r="L67" s="40"/>
      <c r="M67" s="45"/>
      <c r="N67" s="45"/>
      <c r="O67" s="45"/>
      <c r="P67" s="49"/>
      <c r="Q67" s="48"/>
    </row>
    <row r="68" spans="1:17" s="36" customFormat="1" ht="20.100000000000001" customHeight="1">
      <c r="A68" s="45"/>
      <c r="B68" s="45"/>
      <c r="C68" s="45"/>
      <c r="D68" s="46"/>
      <c r="E68" s="45"/>
      <c r="F68" s="45"/>
      <c r="G68" s="45"/>
      <c r="H68" s="45"/>
      <c r="I68" s="45"/>
      <c r="J68" s="45"/>
      <c r="K68" s="40"/>
      <c r="L68" s="40"/>
      <c r="M68" s="45"/>
      <c r="N68" s="45"/>
      <c r="O68" s="45"/>
      <c r="P68" s="49"/>
      <c r="Q68" s="48"/>
    </row>
    <row r="69" spans="1:17" s="36" customFormat="1" ht="20.100000000000001" customHeight="1">
      <c r="A69" s="45"/>
      <c r="B69" s="45"/>
      <c r="C69" s="45"/>
      <c r="D69" s="46"/>
      <c r="E69" s="45"/>
      <c r="F69" s="45"/>
      <c r="G69" s="45"/>
      <c r="H69" s="45"/>
      <c r="I69" s="45"/>
      <c r="J69" s="45"/>
      <c r="K69" s="40"/>
      <c r="L69" s="40"/>
      <c r="M69" s="45"/>
      <c r="N69" s="45"/>
      <c r="O69" s="45"/>
      <c r="P69" s="49"/>
      <c r="Q69" s="48"/>
    </row>
    <row r="70" spans="1:17" s="36" customFormat="1" ht="20.100000000000001" customHeight="1">
      <c r="A70" s="45"/>
      <c r="B70" s="45"/>
      <c r="C70" s="45"/>
      <c r="D70" s="46"/>
      <c r="E70" s="45"/>
      <c r="F70" s="45"/>
      <c r="G70" s="45"/>
      <c r="H70" s="45"/>
      <c r="I70" s="45"/>
      <c r="J70" s="45"/>
      <c r="K70" s="40"/>
      <c r="L70" s="40"/>
      <c r="M70" s="45"/>
      <c r="N70" s="45"/>
      <c r="O70" s="45"/>
      <c r="P70" s="49"/>
      <c r="Q70" s="48"/>
    </row>
    <row r="71" spans="1:17" s="36" customFormat="1" ht="20.100000000000001" customHeight="1">
      <c r="A71" s="45"/>
      <c r="B71" s="45"/>
      <c r="C71" s="45"/>
      <c r="D71" s="46"/>
      <c r="E71" s="45"/>
      <c r="F71" s="45"/>
      <c r="G71" s="45"/>
      <c r="H71" s="45"/>
      <c r="I71" s="45"/>
      <c r="J71" s="45"/>
      <c r="K71" s="40"/>
      <c r="L71" s="40"/>
      <c r="M71" s="45"/>
      <c r="N71" s="45"/>
      <c r="O71" s="45"/>
    </row>
    <row r="72" spans="1:17" s="36" customFormat="1" ht="20.100000000000001" customHeight="1">
      <c r="A72" s="45"/>
      <c r="B72" s="45"/>
      <c r="C72" s="45"/>
      <c r="D72" s="46"/>
      <c r="E72" s="45"/>
      <c r="F72" s="45"/>
      <c r="G72" s="45"/>
      <c r="H72" s="45"/>
      <c r="I72" s="45"/>
      <c r="J72" s="45"/>
      <c r="K72" s="40"/>
      <c r="L72" s="40"/>
      <c r="M72" s="45"/>
      <c r="N72" s="45"/>
      <c r="O72" s="45"/>
    </row>
    <row r="73" spans="1:17" s="36" customFormat="1" ht="20.100000000000001" customHeight="1">
      <c r="A73" s="45"/>
      <c r="B73" s="45"/>
      <c r="C73" s="45"/>
      <c r="D73" s="46"/>
      <c r="E73" s="45"/>
      <c r="F73" s="45"/>
      <c r="G73" s="45"/>
      <c r="H73" s="45"/>
      <c r="I73" s="45"/>
      <c r="J73" s="45"/>
      <c r="K73" s="40"/>
      <c r="L73" s="40"/>
      <c r="M73" s="45"/>
      <c r="N73" s="45"/>
      <c r="O73" s="45"/>
    </row>
    <row r="74" spans="1:17" s="36" customFormat="1" ht="20.100000000000001" customHeight="1">
      <c r="A74" s="45"/>
      <c r="B74" s="45"/>
      <c r="C74" s="45"/>
      <c r="D74" s="46"/>
      <c r="E74" s="45"/>
      <c r="F74" s="45"/>
      <c r="G74" s="45"/>
      <c r="H74" s="45"/>
      <c r="I74" s="45"/>
      <c r="J74" s="45"/>
      <c r="K74" s="40"/>
      <c r="L74" s="40"/>
      <c r="M74" s="45"/>
      <c r="N74" s="45"/>
      <c r="O74" s="45"/>
    </row>
    <row r="75" spans="1:17" s="36" customFormat="1" ht="20.100000000000001" customHeight="1">
      <c r="A75" s="45"/>
      <c r="B75" s="45"/>
      <c r="C75" s="45"/>
      <c r="D75" s="46"/>
      <c r="E75" s="45"/>
      <c r="F75" s="45"/>
      <c r="G75" s="45"/>
      <c r="H75" s="45"/>
      <c r="I75" s="45"/>
      <c r="J75" s="45"/>
      <c r="K75" s="40"/>
      <c r="L75" s="40"/>
      <c r="M75" s="45"/>
      <c r="N75" s="45"/>
      <c r="O75" s="45"/>
    </row>
    <row r="76" spans="1:17" s="36" customFormat="1" ht="20.100000000000001" customHeight="1">
      <c r="A76" s="45"/>
      <c r="B76" s="45"/>
      <c r="C76" s="45"/>
      <c r="D76" s="46"/>
      <c r="E76" s="45"/>
      <c r="F76" s="45"/>
      <c r="G76" s="45"/>
      <c r="H76" s="45"/>
      <c r="I76" s="45"/>
      <c r="J76" s="45"/>
      <c r="K76" s="40"/>
      <c r="L76" s="40"/>
      <c r="M76" s="45"/>
      <c r="N76" s="45"/>
      <c r="O76" s="45"/>
    </row>
    <row r="77" spans="1:17" s="36" customFormat="1" ht="20.100000000000001" customHeight="1">
      <c r="A77" s="45"/>
      <c r="B77" s="45"/>
      <c r="C77" s="45"/>
      <c r="D77" s="46"/>
      <c r="E77" s="45"/>
      <c r="F77" s="45"/>
      <c r="G77" s="45"/>
      <c r="H77" s="45"/>
      <c r="I77" s="45"/>
      <c r="J77" s="45"/>
      <c r="K77" s="40"/>
      <c r="L77" s="40"/>
      <c r="M77" s="45"/>
      <c r="N77" s="45"/>
      <c r="O77" s="45"/>
    </row>
    <row r="78" spans="1:17" s="36" customFormat="1" ht="20.100000000000001" customHeight="1">
      <c r="A78" s="45"/>
      <c r="B78" s="45"/>
      <c r="C78" s="45"/>
      <c r="D78" s="46"/>
      <c r="E78" s="45"/>
      <c r="F78" s="45"/>
      <c r="G78" s="45"/>
      <c r="H78" s="45"/>
      <c r="I78" s="45"/>
      <c r="J78" s="45"/>
      <c r="K78" s="40"/>
      <c r="L78" s="40"/>
      <c r="M78" s="45"/>
      <c r="N78" s="45"/>
      <c r="O78" s="45"/>
    </row>
    <row r="79" spans="1:17" s="36" customFormat="1" ht="20.100000000000001" customHeight="1">
      <c r="A79" s="45"/>
      <c r="B79" s="45"/>
      <c r="C79" s="45"/>
      <c r="D79" s="46"/>
      <c r="E79" s="45"/>
      <c r="F79" s="45"/>
      <c r="G79" s="45"/>
      <c r="H79" s="45"/>
      <c r="I79" s="45"/>
      <c r="J79" s="45"/>
      <c r="K79" s="40"/>
      <c r="L79" s="40"/>
      <c r="M79" s="45"/>
      <c r="N79" s="45"/>
      <c r="O79" s="45"/>
    </row>
    <row r="80" spans="1:17" s="36" customFormat="1" ht="20.100000000000001" customHeight="1">
      <c r="A80" s="45"/>
      <c r="B80" s="45"/>
      <c r="C80" s="45"/>
      <c r="D80" s="46"/>
      <c r="E80" s="45"/>
      <c r="F80" s="45"/>
      <c r="G80" s="45"/>
      <c r="H80" s="45"/>
      <c r="I80" s="45"/>
      <c r="J80" s="45"/>
      <c r="K80" s="40"/>
      <c r="L80" s="40"/>
      <c r="M80" s="45"/>
      <c r="N80" s="45"/>
      <c r="O80" s="45"/>
    </row>
    <row r="81" spans="1:15" s="36" customFormat="1" ht="20.100000000000001" customHeight="1">
      <c r="A81" s="45"/>
      <c r="B81" s="45"/>
      <c r="C81" s="45"/>
      <c r="D81" s="46"/>
      <c r="E81" s="45"/>
      <c r="F81" s="45"/>
      <c r="G81" s="45"/>
      <c r="H81" s="45"/>
      <c r="I81" s="45"/>
      <c r="J81" s="45"/>
      <c r="K81" s="40"/>
      <c r="L81" s="40"/>
      <c r="M81" s="45"/>
      <c r="N81" s="45"/>
      <c r="O81" s="45"/>
    </row>
    <row r="82" spans="1:15" s="36" customFormat="1" ht="20.100000000000001" customHeight="1">
      <c r="A82" s="45"/>
      <c r="B82" s="45"/>
      <c r="C82" s="45"/>
      <c r="D82" s="46"/>
      <c r="E82" s="45"/>
      <c r="F82" s="45"/>
      <c r="G82" s="45"/>
      <c r="H82" s="45"/>
      <c r="I82" s="45"/>
      <c r="J82" s="45"/>
      <c r="K82" s="40"/>
      <c r="L82" s="40"/>
      <c r="M82" s="45"/>
      <c r="N82" s="45"/>
      <c r="O82" s="45"/>
    </row>
    <row r="83" spans="1:15" s="36" customFormat="1" ht="20.100000000000001" customHeight="1">
      <c r="A83" s="45"/>
      <c r="B83" s="45"/>
      <c r="C83" s="45"/>
      <c r="D83" s="46"/>
      <c r="E83" s="45"/>
      <c r="F83" s="45"/>
      <c r="G83" s="45"/>
      <c r="H83" s="45"/>
      <c r="I83" s="45"/>
      <c r="J83" s="45"/>
      <c r="K83" s="40"/>
      <c r="L83" s="40"/>
      <c r="M83" s="45"/>
      <c r="N83" s="45"/>
      <c r="O83" s="45"/>
    </row>
    <row r="84" spans="1:15" s="36" customFormat="1" ht="20.100000000000001" customHeight="1">
      <c r="A84" s="45"/>
      <c r="B84" s="45"/>
      <c r="C84" s="45"/>
      <c r="D84" s="46"/>
      <c r="E84" s="45"/>
      <c r="F84" s="45"/>
      <c r="G84" s="45"/>
      <c r="H84" s="45"/>
      <c r="I84" s="45"/>
      <c r="J84" s="45"/>
      <c r="K84" s="40"/>
      <c r="L84" s="40"/>
      <c r="M84" s="45"/>
      <c r="N84" s="45"/>
      <c r="O84" s="45"/>
    </row>
    <row r="85" spans="1:15" s="36" customFormat="1" ht="20.100000000000001" customHeight="1">
      <c r="A85" s="45"/>
      <c r="B85" s="45"/>
      <c r="C85" s="45"/>
      <c r="D85" s="46"/>
      <c r="E85" s="45"/>
      <c r="F85" s="45"/>
      <c r="G85" s="45"/>
      <c r="H85" s="45"/>
      <c r="I85" s="45"/>
      <c r="J85" s="45"/>
      <c r="K85" s="40"/>
      <c r="L85" s="40"/>
      <c r="M85" s="45"/>
      <c r="N85" s="45"/>
      <c r="O85" s="45"/>
    </row>
    <row r="86" spans="1:15" s="36" customFormat="1" ht="20.100000000000001" customHeight="1">
      <c r="A86" s="45"/>
      <c r="B86" s="45"/>
      <c r="C86" s="45"/>
      <c r="D86" s="46"/>
      <c r="E86" s="45"/>
      <c r="F86" s="45"/>
      <c r="G86" s="45"/>
      <c r="H86" s="45"/>
      <c r="I86" s="45"/>
      <c r="J86" s="45"/>
      <c r="K86" s="40"/>
      <c r="L86" s="40"/>
      <c r="M86" s="45"/>
      <c r="N86" s="45"/>
      <c r="O86" s="45"/>
    </row>
    <row r="87" spans="1:15" s="36" customFormat="1" ht="20.100000000000001" customHeight="1">
      <c r="A87" s="45"/>
      <c r="B87" s="45"/>
      <c r="C87" s="45"/>
      <c r="D87" s="46"/>
      <c r="E87" s="45"/>
      <c r="F87" s="45"/>
      <c r="G87" s="45"/>
      <c r="H87" s="45"/>
      <c r="I87" s="45"/>
      <c r="J87" s="45"/>
      <c r="K87" s="40"/>
      <c r="L87" s="40"/>
      <c r="M87" s="45"/>
      <c r="N87" s="45"/>
      <c r="O87" s="45"/>
    </row>
    <row r="88" spans="1:15" s="36" customFormat="1" ht="20.100000000000001" customHeight="1">
      <c r="A88" s="45"/>
      <c r="B88" s="45"/>
      <c r="C88" s="45"/>
      <c r="D88" s="46"/>
      <c r="E88" s="45"/>
      <c r="F88" s="45"/>
      <c r="G88" s="45"/>
      <c r="H88" s="45"/>
      <c r="I88" s="45"/>
      <c r="J88" s="45"/>
      <c r="K88" s="40"/>
      <c r="L88" s="40"/>
      <c r="M88" s="45"/>
      <c r="N88" s="45"/>
      <c r="O88" s="45"/>
    </row>
    <row r="89" spans="1:15" s="36" customFormat="1" ht="20.100000000000001" customHeight="1">
      <c r="A89" s="45"/>
      <c r="B89" s="45"/>
      <c r="C89" s="45"/>
      <c r="D89" s="46"/>
      <c r="E89" s="45"/>
      <c r="F89" s="45"/>
      <c r="G89" s="45"/>
      <c r="H89" s="45"/>
      <c r="I89" s="45"/>
      <c r="J89" s="45"/>
      <c r="K89" s="40"/>
      <c r="L89" s="40"/>
      <c r="M89" s="45"/>
      <c r="N89" s="45"/>
      <c r="O89" s="45"/>
    </row>
    <row r="90" spans="1:15" s="36" customFormat="1" ht="20.100000000000001" customHeight="1">
      <c r="A90" s="45"/>
      <c r="B90" s="45"/>
      <c r="C90" s="45"/>
      <c r="D90" s="46"/>
      <c r="E90" s="45"/>
      <c r="F90" s="45"/>
      <c r="G90" s="45"/>
      <c r="H90" s="45"/>
      <c r="I90" s="45"/>
      <c r="J90" s="45"/>
      <c r="K90" s="40"/>
      <c r="L90" s="40"/>
      <c r="M90" s="45"/>
      <c r="N90" s="45"/>
      <c r="O90" s="45"/>
    </row>
    <row r="91" spans="1:15" s="36" customFormat="1" ht="20.100000000000001" customHeight="1">
      <c r="A91" s="45"/>
      <c r="B91" s="45"/>
      <c r="C91" s="45"/>
      <c r="D91" s="46"/>
      <c r="E91" s="45"/>
      <c r="F91" s="45"/>
      <c r="G91" s="45"/>
      <c r="H91" s="45"/>
      <c r="I91" s="45"/>
      <c r="J91" s="45"/>
      <c r="K91" s="40"/>
      <c r="L91" s="40"/>
      <c r="M91" s="45"/>
      <c r="N91" s="45"/>
      <c r="O91" s="45"/>
    </row>
    <row r="92" spans="1:15" s="36" customFormat="1" ht="20.100000000000001" customHeight="1">
      <c r="A92" s="45"/>
      <c r="B92" s="45"/>
      <c r="C92" s="45"/>
      <c r="D92" s="46"/>
      <c r="E92" s="45"/>
      <c r="F92" s="45"/>
      <c r="G92" s="45"/>
      <c r="H92" s="45"/>
      <c r="I92" s="45"/>
      <c r="J92" s="45"/>
      <c r="K92" s="40"/>
      <c r="L92" s="40"/>
      <c r="M92" s="45"/>
      <c r="N92" s="45"/>
      <c r="O92" s="45"/>
    </row>
    <row r="93" spans="1:15" s="36" customFormat="1" ht="20.100000000000001" customHeight="1">
      <c r="A93" s="45"/>
      <c r="B93" s="45"/>
      <c r="C93" s="45"/>
      <c r="D93" s="46"/>
      <c r="E93" s="45"/>
      <c r="F93" s="45"/>
      <c r="G93" s="45"/>
      <c r="H93" s="45"/>
      <c r="I93" s="45"/>
      <c r="J93" s="45"/>
      <c r="K93" s="40"/>
      <c r="L93" s="40"/>
      <c r="M93" s="45"/>
      <c r="N93" s="45"/>
      <c r="O93" s="45"/>
    </row>
    <row r="94" spans="1:15" s="36" customFormat="1" ht="20.100000000000001" customHeight="1">
      <c r="A94" s="45"/>
      <c r="B94" s="45"/>
      <c r="C94" s="45"/>
      <c r="D94" s="46"/>
      <c r="E94" s="45"/>
      <c r="F94" s="45"/>
      <c r="G94" s="45"/>
      <c r="H94" s="45"/>
      <c r="I94" s="45"/>
      <c r="J94" s="45"/>
      <c r="K94" s="40"/>
      <c r="L94" s="40"/>
      <c r="M94" s="45"/>
      <c r="N94" s="45"/>
      <c r="O94" s="45"/>
    </row>
    <row r="95" spans="1:15" s="36" customFormat="1" ht="20.100000000000001" customHeight="1">
      <c r="A95" s="45"/>
      <c r="B95" s="45"/>
      <c r="C95" s="45"/>
      <c r="D95" s="46"/>
      <c r="E95" s="45"/>
      <c r="F95" s="45"/>
      <c r="G95" s="45"/>
      <c r="H95" s="45"/>
      <c r="I95" s="45"/>
      <c r="J95" s="45"/>
      <c r="K95" s="40"/>
      <c r="L95" s="40"/>
      <c r="M95" s="45"/>
      <c r="N95" s="45"/>
      <c r="O95" s="45"/>
    </row>
    <row r="96" spans="1:15" s="36" customFormat="1" ht="20.100000000000001" customHeight="1">
      <c r="A96" s="45"/>
      <c r="B96" s="45"/>
      <c r="C96" s="45"/>
      <c r="D96" s="46"/>
      <c r="E96" s="45"/>
      <c r="F96" s="45"/>
      <c r="G96" s="45"/>
      <c r="H96" s="45"/>
      <c r="I96" s="45"/>
      <c r="J96" s="45"/>
      <c r="K96" s="40"/>
      <c r="L96" s="40"/>
      <c r="M96" s="45"/>
      <c r="N96" s="45"/>
      <c r="O96" s="45"/>
    </row>
    <row r="97" spans="1:15" s="36" customFormat="1" ht="20.100000000000001" customHeight="1">
      <c r="A97" s="45"/>
      <c r="B97" s="45"/>
      <c r="C97" s="45"/>
      <c r="D97" s="46"/>
      <c r="E97" s="45"/>
      <c r="F97" s="45"/>
      <c r="G97" s="45"/>
      <c r="H97" s="45"/>
      <c r="I97" s="45"/>
      <c r="J97" s="45"/>
      <c r="K97" s="40"/>
      <c r="L97" s="40"/>
      <c r="M97" s="45"/>
      <c r="N97" s="45"/>
      <c r="O97" s="45"/>
    </row>
    <row r="98" spans="1:15" s="36" customFormat="1" ht="20.100000000000001" customHeight="1">
      <c r="A98" s="45"/>
      <c r="B98" s="45"/>
      <c r="C98" s="45"/>
      <c r="D98" s="46"/>
      <c r="E98" s="45"/>
      <c r="F98" s="45"/>
      <c r="G98" s="45"/>
      <c r="H98" s="45"/>
      <c r="I98" s="45"/>
      <c r="J98" s="45"/>
      <c r="K98" s="40"/>
      <c r="L98" s="40"/>
      <c r="M98" s="45"/>
      <c r="N98" s="45"/>
      <c r="O98" s="45"/>
    </row>
    <row r="99" spans="1:15" s="36" customFormat="1" ht="20.100000000000001" customHeight="1">
      <c r="A99" s="45"/>
      <c r="B99" s="45"/>
      <c r="C99" s="45"/>
      <c r="D99" s="46"/>
      <c r="E99" s="45"/>
      <c r="F99" s="45"/>
      <c r="G99" s="45"/>
      <c r="H99" s="45"/>
      <c r="I99" s="45"/>
      <c r="J99" s="45"/>
      <c r="K99" s="40"/>
      <c r="L99" s="40"/>
      <c r="M99" s="45"/>
      <c r="N99" s="45"/>
      <c r="O99" s="45"/>
    </row>
    <row r="100" spans="1:15" s="36" customFormat="1" ht="20.100000000000001" customHeight="1">
      <c r="A100" s="45"/>
      <c r="B100" s="45"/>
      <c r="C100" s="45"/>
      <c r="D100" s="46"/>
      <c r="E100" s="45"/>
      <c r="F100" s="45"/>
      <c r="G100" s="45"/>
      <c r="H100" s="45"/>
      <c r="I100" s="45"/>
      <c r="J100" s="45"/>
      <c r="K100" s="40"/>
      <c r="L100" s="40"/>
      <c r="M100" s="45"/>
      <c r="N100" s="45"/>
      <c r="O100" s="45"/>
    </row>
    <row r="101" spans="1:15" s="36" customFormat="1" ht="20.100000000000001" customHeight="1">
      <c r="A101" s="45"/>
      <c r="B101" s="45"/>
      <c r="C101" s="45"/>
      <c r="D101" s="46"/>
      <c r="E101" s="45"/>
      <c r="F101" s="45"/>
      <c r="G101" s="45"/>
      <c r="H101" s="45"/>
      <c r="I101" s="45"/>
      <c r="J101" s="45"/>
      <c r="K101" s="40"/>
      <c r="L101" s="40"/>
      <c r="M101" s="45"/>
      <c r="N101" s="45"/>
      <c r="O101" s="45"/>
    </row>
    <row r="102" spans="1:15" s="36" customFormat="1" ht="20.100000000000001" customHeight="1">
      <c r="A102" s="45"/>
      <c r="B102" s="45"/>
      <c r="C102" s="45"/>
      <c r="D102" s="46"/>
      <c r="E102" s="45"/>
      <c r="F102" s="45"/>
      <c r="G102" s="45"/>
      <c r="H102" s="45"/>
      <c r="I102" s="45"/>
      <c r="J102" s="45"/>
      <c r="K102" s="40"/>
      <c r="L102" s="40"/>
      <c r="M102" s="45"/>
      <c r="N102" s="45"/>
      <c r="O102" s="45"/>
    </row>
    <row r="103" spans="1:15" s="36" customFormat="1" ht="20.100000000000001" customHeight="1">
      <c r="A103" s="45"/>
      <c r="B103" s="45"/>
      <c r="C103" s="45"/>
      <c r="D103" s="46"/>
      <c r="E103" s="45"/>
      <c r="F103" s="45"/>
      <c r="G103" s="45"/>
      <c r="H103" s="45"/>
      <c r="I103" s="45"/>
      <c r="J103" s="45"/>
      <c r="K103" s="40"/>
      <c r="L103" s="40"/>
      <c r="M103" s="45"/>
      <c r="N103" s="45"/>
      <c r="O103" s="45"/>
    </row>
    <row r="104" spans="1:15" s="36" customFormat="1" ht="20.100000000000001" customHeight="1">
      <c r="A104" s="45"/>
      <c r="B104" s="45"/>
      <c r="C104" s="45"/>
      <c r="D104" s="46"/>
      <c r="E104" s="45"/>
      <c r="F104" s="45"/>
      <c r="G104" s="45"/>
      <c r="H104" s="45"/>
      <c r="I104" s="45"/>
      <c r="J104" s="45"/>
      <c r="K104" s="40"/>
      <c r="L104" s="40"/>
      <c r="M104" s="45"/>
      <c r="N104" s="45"/>
      <c r="O104" s="45"/>
    </row>
    <row r="105" spans="1:15" s="36" customFormat="1" ht="20.100000000000001" customHeight="1">
      <c r="A105" s="45"/>
      <c r="B105" s="45"/>
      <c r="C105" s="45"/>
      <c r="D105" s="46"/>
      <c r="E105" s="45"/>
      <c r="F105" s="45"/>
      <c r="G105" s="45"/>
      <c r="H105" s="45"/>
      <c r="I105" s="45"/>
      <c r="J105" s="45"/>
      <c r="K105" s="40"/>
      <c r="L105" s="40"/>
      <c r="M105" s="45"/>
      <c r="N105" s="45"/>
      <c r="O105" s="45"/>
    </row>
    <row r="106" spans="1:15" s="36" customFormat="1" ht="20.100000000000001" customHeight="1">
      <c r="A106" s="45"/>
      <c r="B106" s="45"/>
      <c r="C106" s="45"/>
      <c r="D106" s="46"/>
      <c r="E106" s="45"/>
      <c r="F106" s="45"/>
      <c r="G106" s="45"/>
      <c r="H106" s="45"/>
      <c r="I106" s="45"/>
      <c r="J106" s="45"/>
      <c r="K106" s="40"/>
      <c r="L106" s="40"/>
      <c r="M106" s="45"/>
      <c r="N106" s="45"/>
      <c r="O106" s="45"/>
    </row>
    <row r="107" spans="1:15" s="36" customFormat="1" ht="20.100000000000001" customHeight="1">
      <c r="A107" s="45"/>
      <c r="B107" s="45"/>
      <c r="C107" s="45"/>
      <c r="D107" s="46"/>
      <c r="E107" s="45"/>
      <c r="F107" s="45"/>
      <c r="G107" s="45"/>
      <c r="H107" s="45"/>
      <c r="I107" s="45"/>
      <c r="J107" s="45"/>
      <c r="K107" s="40"/>
      <c r="L107" s="40"/>
      <c r="M107" s="45"/>
      <c r="N107" s="45"/>
      <c r="O107" s="45"/>
    </row>
    <row r="108" spans="1:15" s="36" customFormat="1" ht="20.100000000000001" customHeight="1">
      <c r="A108" s="45"/>
      <c r="B108" s="45"/>
      <c r="C108" s="45"/>
      <c r="D108" s="46"/>
      <c r="E108" s="45"/>
      <c r="F108" s="45"/>
      <c r="G108" s="45"/>
      <c r="H108" s="45"/>
      <c r="I108" s="45"/>
      <c r="J108" s="45"/>
      <c r="K108" s="40"/>
      <c r="L108" s="40"/>
      <c r="M108" s="45"/>
      <c r="N108" s="45"/>
      <c r="O108" s="45"/>
    </row>
    <row r="109" spans="1:15" s="36" customFormat="1" ht="20.100000000000001" customHeight="1">
      <c r="A109" s="45"/>
      <c r="B109" s="45"/>
      <c r="C109" s="45"/>
      <c r="D109" s="46"/>
      <c r="E109" s="45"/>
      <c r="F109" s="45"/>
      <c r="G109" s="45"/>
      <c r="H109" s="45"/>
      <c r="I109" s="45"/>
      <c r="J109" s="45"/>
      <c r="K109" s="40"/>
      <c r="L109" s="40"/>
      <c r="M109" s="45"/>
      <c r="N109" s="45"/>
      <c r="O109" s="45"/>
    </row>
    <row r="110" spans="1:15" s="36" customFormat="1" ht="20.100000000000001" customHeight="1">
      <c r="A110" s="45"/>
      <c r="B110" s="45"/>
      <c r="C110" s="45"/>
      <c r="D110" s="46"/>
      <c r="E110" s="45"/>
      <c r="F110" s="45"/>
      <c r="G110" s="45"/>
      <c r="H110" s="45"/>
      <c r="I110" s="45"/>
      <c r="J110" s="45"/>
      <c r="K110" s="40"/>
      <c r="L110" s="40"/>
      <c r="M110" s="45"/>
      <c r="N110" s="45"/>
      <c r="O110" s="45"/>
    </row>
    <row r="111" spans="1:15" s="36" customFormat="1" ht="20.100000000000001" customHeight="1">
      <c r="A111" s="45"/>
      <c r="B111" s="45"/>
      <c r="C111" s="45"/>
      <c r="D111" s="46"/>
      <c r="E111" s="45"/>
      <c r="F111" s="45"/>
      <c r="G111" s="45"/>
      <c r="H111" s="45"/>
      <c r="I111" s="45"/>
      <c r="J111" s="45"/>
      <c r="K111" s="40"/>
      <c r="L111" s="40"/>
      <c r="M111" s="45"/>
      <c r="N111" s="45"/>
      <c r="O111" s="45"/>
    </row>
    <row r="112" spans="1:15" s="36" customFormat="1" ht="20.100000000000001" customHeight="1">
      <c r="A112" s="45"/>
      <c r="B112" s="45"/>
      <c r="C112" s="45"/>
      <c r="D112" s="46"/>
      <c r="E112" s="45"/>
      <c r="F112" s="45"/>
      <c r="G112" s="45"/>
      <c r="H112" s="45"/>
      <c r="I112" s="45"/>
      <c r="J112" s="45"/>
      <c r="K112" s="40"/>
      <c r="L112" s="40"/>
      <c r="M112" s="45"/>
      <c r="N112" s="45"/>
      <c r="O112" s="45"/>
    </row>
    <row r="113" spans="1:15" s="36" customFormat="1" ht="20.100000000000001" customHeight="1">
      <c r="A113" s="45"/>
      <c r="B113" s="45"/>
      <c r="C113" s="45"/>
      <c r="D113" s="46"/>
      <c r="E113" s="45"/>
      <c r="F113" s="45"/>
      <c r="G113" s="45"/>
      <c r="H113" s="45"/>
      <c r="I113" s="45"/>
      <c r="J113" s="45"/>
      <c r="K113" s="40"/>
      <c r="L113" s="40"/>
      <c r="M113" s="45"/>
      <c r="N113" s="45"/>
      <c r="O113" s="45"/>
    </row>
    <row r="114" spans="1:15" s="36" customFormat="1" ht="20.100000000000001" customHeight="1">
      <c r="A114" s="45"/>
      <c r="B114" s="45"/>
      <c r="C114" s="45"/>
      <c r="D114" s="46"/>
      <c r="E114" s="45"/>
      <c r="F114" s="45"/>
      <c r="G114" s="45"/>
      <c r="H114" s="45"/>
      <c r="I114" s="45"/>
      <c r="J114" s="45"/>
      <c r="K114" s="40"/>
      <c r="L114" s="40"/>
      <c r="M114" s="45"/>
      <c r="N114" s="45"/>
      <c r="O114" s="45"/>
    </row>
    <row r="115" spans="1:15" s="36" customFormat="1" ht="20.100000000000001" customHeight="1">
      <c r="A115" s="45"/>
      <c r="B115" s="45"/>
      <c r="C115" s="45"/>
      <c r="D115" s="46"/>
      <c r="E115" s="45"/>
      <c r="F115" s="45"/>
      <c r="G115" s="45"/>
      <c r="H115" s="45"/>
      <c r="I115" s="45"/>
      <c r="J115" s="45"/>
      <c r="K115" s="40"/>
      <c r="L115" s="40"/>
      <c r="M115" s="45"/>
      <c r="N115" s="45"/>
      <c r="O115" s="45"/>
    </row>
    <row r="116" spans="1:15" s="36" customFormat="1" ht="20.100000000000001" customHeight="1">
      <c r="A116" s="45"/>
      <c r="B116" s="45"/>
      <c r="C116" s="45"/>
      <c r="D116" s="46"/>
      <c r="E116" s="45"/>
      <c r="F116" s="45"/>
      <c r="G116" s="45"/>
      <c r="H116" s="45"/>
      <c r="I116" s="45"/>
      <c r="J116" s="45"/>
      <c r="K116" s="40"/>
      <c r="L116" s="40"/>
      <c r="M116" s="45"/>
      <c r="N116" s="45"/>
      <c r="O116" s="45"/>
    </row>
    <row r="117" spans="1:15" s="36" customFormat="1" ht="20.100000000000001" customHeight="1">
      <c r="A117" s="45"/>
      <c r="B117" s="45"/>
      <c r="C117" s="45"/>
      <c r="D117" s="46"/>
      <c r="E117" s="45"/>
      <c r="F117" s="45"/>
      <c r="G117" s="45"/>
      <c r="H117" s="45"/>
      <c r="I117" s="45"/>
      <c r="J117" s="45"/>
      <c r="K117" s="40"/>
      <c r="L117" s="40"/>
      <c r="M117" s="45"/>
      <c r="N117" s="45"/>
      <c r="O117" s="45"/>
    </row>
    <row r="118" spans="1:15" s="36" customFormat="1" ht="20.100000000000001" customHeight="1">
      <c r="A118" s="45"/>
      <c r="B118" s="45"/>
      <c r="C118" s="45"/>
      <c r="D118" s="46"/>
      <c r="E118" s="45"/>
      <c r="F118" s="45"/>
      <c r="G118" s="45"/>
      <c r="H118" s="45"/>
      <c r="I118" s="45"/>
      <c r="J118" s="45"/>
      <c r="K118" s="40"/>
      <c r="L118" s="40"/>
      <c r="M118" s="45"/>
      <c r="N118" s="45"/>
      <c r="O118" s="45"/>
    </row>
    <row r="119" spans="1:15" s="36" customFormat="1" ht="20.100000000000001" customHeight="1">
      <c r="A119" s="45"/>
      <c r="B119" s="45"/>
      <c r="C119" s="45"/>
      <c r="D119" s="46"/>
      <c r="E119" s="45"/>
      <c r="F119" s="45"/>
      <c r="G119" s="45"/>
      <c r="H119" s="45"/>
      <c r="I119" s="45"/>
      <c r="J119" s="45"/>
      <c r="K119" s="40"/>
      <c r="L119" s="40"/>
      <c r="M119" s="45"/>
      <c r="N119" s="45"/>
      <c r="O119" s="45"/>
    </row>
    <row r="120" spans="1:15" s="36" customFormat="1" ht="20.100000000000001" customHeight="1">
      <c r="A120" s="45"/>
      <c r="B120" s="45"/>
      <c r="C120" s="45"/>
      <c r="D120" s="46"/>
      <c r="E120" s="45"/>
      <c r="F120" s="45"/>
      <c r="G120" s="45"/>
      <c r="H120" s="45"/>
      <c r="I120" s="45"/>
      <c r="J120" s="45"/>
      <c r="K120" s="40"/>
      <c r="L120" s="40"/>
      <c r="M120" s="45"/>
      <c r="N120" s="45"/>
      <c r="O120" s="45"/>
    </row>
    <row r="121" spans="1:15" s="36" customFormat="1" ht="20.100000000000001" customHeight="1">
      <c r="A121" s="45"/>
      <c r="B121" s="45"/>
      <c r="C121" s="45"/>
      <c r="D121" s="46"/>
      <c r="E121" s="45"/>
      <c r="F121" s="45"/>
      <c r="G121" s="45"/>
      <c r="H121" s="45"/>
      <c r="I121" s="45"/>
      <c r="J121" s="45"/>
      <c r="K121" s="40"/>
      <c r="L121" s="40"/>
      <c r="M121" s="45"/>
      <c r="N121" s="45"/>
      <c r="O121" s="45"/>
    </row>
    <row r="122" spans="1:15" s="36" customFormat="1" ht="20.100000000000001" customHeight="1">
      <c r="A122" s="45"/>
      <c r="B122" s="45"/>
      <c r="C122" s="45"/>
      <c r="D122" s="46"/>
      <c r="E122" s="45"/>
      <c r="F122" s="45"/>
      <c r="G122" s="45"/>
      <c r="H122" s="45"/>
      <c r="I122" s="45"/>
      <c r="J122" s="45"/>
      <c r="K122" s="40"/>
      <c r="L122" s="40"/>
      <c r="M122" s="45"/>
      <c r="N122" s="45"/>
      <c r="O122" s="45"/>
    </row>
    <row r="123" spans="1:15" s="36" customFormat="1" ht="20.100000000000001" customHeight="1">
      <c r="A123" s="45"/>
      <c r="B123" s="45"/>
      <c r="C123" s="45"/>
      <c r="D123" s="46"/>
      <c r="E123" s="45"/>
      <c r="F123" s="45"/>
      <c r="G123" s="45"/>
      <c r="H123" s="45"/>
      <c r="I123" s="45"/>
      <c r="J123" s="45"/>
      <c r="K123" s="40"/>
      <c r="L123" s="40"/>
      <c r="M123" s="45"/>
      <c r="N123" s="45"/>
      <c r="O123" s="45"/>
    </row>
    <row r="124" spans="1:15" s="36" customFormat="1" ht="20.100000000000001" customHeight="1">
      <c r="A124" s="45"/>
      <c r="B124" s="45"/>
      <c r="C124" s="45"/>
      <c r="D124" s="46"/>
      <c r="E124" s="45"/>
      <c r="F124" s="45"/>
      <c r="G124" s="45"/>
      <c r="H124" s="45"/>
      <c r="I124" s="45"/>
      <c r="J124" s="45"/>
      <c r="K124" s="40"/>
      <c r="L124" s="40"/>
      <c r="M124" s="45"/>
      <c r="N124" s="45"/>
      <c r="O124" s="45"/>
    </row>
    <row r="125" spans="1:15" s="36" customFormat="1" ht="20.100000000000001" customHeight="1">
      <c r="A125" s="45"/>
      <c r="B125" s="45"/>
      <c r="C125" s="45"/>
      <c r="D125" s="46"/>
      <c r="E125" s="45"/>
      <c r="F125" s="45"/>
      <c r="G125" s="45"/>
      <c r="H125" s="45"/>
      <c r="I125" s="45"/>
      <c r="J125" s="45"/>
      <c r="K125" s="40"/>
      <c r="L125" s="40"/>
      <c r="M125" s="45"/>
      <c r="N125" s="45"/>
      <c r="O125" s="45"/>
    </row>
    <row r="126" spans="1:15" s="36" customFormat="1" ht="20.100000000000001" customHeight="1">
      <c r="A126" s="45"/>
      <c r="B126" s="45"/>
      <c r="C126" s="45"/>
      <c r="D126" s="46"/>
      <c r="E126" s="45"/>
      <c r="F126" s="45"/>
      <c r="G126" s="45"/>
      <c r="H126" s="45"/>
      <c r="I126" s="45"/>
      <c r="J126" s="45"/>
      <c r="K126" s="40"/>
      <c r="L126" s="40"/>
      <c r="M126" s="45"/>
      <c r="N126" s="45"/>
      <c r="O126" s="45"/>
    </row>
    <row r="127" spans="1:15" s="36" customFormat="1" ht="20.100000000000001" customHeight="1">
      <c r="A127" s="45"/>
      <c r="B127" s="45"/>
      <c r="C127" s="45"/>
      <c r="D127" s="46"/>
      <c r="E127" s="45"/>
      <c r="F127" s="45"/>
      <c r="G127" s="45"/>
      <c r="H127" s="45"/>
      <c r="I127" s="45"/>
      <c r="J127" s="45"/>
      <c r="K127" s="40"/>
      <c r="L127" s="40"/>
      <c r="M127" s="45"/>
      <c r="N127" s="45"/>
      <c r="O127" s="45"/>
    </row>
    <row r="128" spans="1:15" s="36" customFormat="1" ht="20.100000000000001" customHeight="1">
      <c r="A128" s="45"/>
      <c r="B128" s="45"/>
      <c r="C128" s="45"/>
      <c r="D128" s="46"/>
      <c r="E128" s="45"/>
      <c r="F128" s="45"/>
      <c r="G128" s="45"/>
      <c r="H128" s="45"/>
      <c r="I128" s="45"/>
      <c r="J128" s="45"/>
      <c r="K128" s="40"/>
      <c r="L128" s="40"/>
      <c r="M128" s="45"/>
      <c r="N128" s="45"/>
      <c r="O128" s="45"/>
    </row>
    <row r="129" spans="1:15" s="36" customFormat="1" ht="20.100000000000001" customHeight="1">
      <c r="A129" s="45"/>
      <c r="B129" s="45"/>
      <c r="C129" s="45"/>
      <c r="D129" s="46"/>
      <c r="E129" s="45"/>
      <c r="F129" s="45"/>
      <c r="G129" s="45"/>
      <c r="H129" s="45"/>
      <c r="I129" s="45"/>
      <c r="J129" s="45"/>
      <c r="K129" s="40"/>
      <c r="L129" s="40"/>
      <c r="M129" s="45"/>
      <c r="N129" s="45"/>
      <c r="O129" s="45"/>
    </row>
    <row r="130" spans="1:15" s="36" customFormat="1" ht="20.100000000000001" customHeight="1">
      <c r="A130" s="45"/>
      <c r="B130" s="45"/>
      <c r="C130" s="45"/>
      <c r="D130" s="46"/>
      <c r="E130" s="45"/>
      <c r="F130" s="45"/>
      <c r="G130" s="45"/>
      <c r="H130" s="45"/>
      <c r="I130" s="45"/>
      <c r="J130" s="45"/>
      <c r="K130" s="40"/>
      <c r="L130" s="40"/>
      <c r="M130" s="45"/>
      <c r="N130" s="45"/>
      <c r="O130" s="45"/>
    </row>
    <row r="131" spans="1:15" s="36" customFormat="1" ht="20.100000000000001" customHeight="1">
      <c r="A131" s="45"/>
      <c r="B131" s="45"/>
      <c r="C131" s="45"/>
      <c r="D131" s="46"/>
      <c r="E131" s="45"/>
      <c r="F131" s="45"/>
      <c r="G131" s="45"/>
      <c r="H131" s="45"/>
      <c r="I131" s="45"/>
      <c r="J131" s="45"/>
      <c r="K131" s="40"/>
      <c r="L131" s="40"/>
      <c r="M131" s="45"/>
      <c r="N131" s="45"/>
      <c r="O131" s="45"/>
    </row>
    <row r="132" spans="1:15" s="36" customFormat="1" ht="20.100000000000001" customHeight="1">
      <c r="A132" s="45"/>
      <c r="B132" s="45"/>
      <c r="C132" s="45"/>
      <c r="D132" s="46"/>
      <c r="E132" s="45"/>
      <c r="F132" s="45"/>
      <c r="G132" s="45"/>
      <c r="H132" s="45"/>
      <c r="I132" s="45"/>
      <c r="J132" s="45"/>
      <c r="K132" s="40"/>
      <c r="L132" s="40"/>
      <c r="M132" s="45"/>
      <c r="N132" s="45"/>
      <c r="O132" s="45"/>
    </row>
    <row r="133" spans="1:15" s="36" customFormat="1" ht="20.100000000000001" customHeight="1">
      <c r="A133" s="45"/>
      <c r="B133" s="45"/>
      <c r="C133" s="45"/>
      <c r="D133" s="46"/>
      <c r="E133" s="45"/>
      <c r="F133" s="45"/>
      <c r="G133" s="45"/>
      <c r="H133" s="45"/>
      <c r="I133" s="45"/>
      <c r="J133" s="45"/>
      <c r="K133" s="40"/>
      <c r="L133" s="40"/>
      <c r="M133" s="45"/>
      <c r="N133" s="45"/>
      <c r="O133" s="45"/>
    </row>
    <row r="134" spans="1:15" s="36" customFormat="1" ht="20.100000000000001" customHeight="1">
      <c r="A134" s="45"/>
      <c r="B134" s="45"/>
      <c r="C134" s="45"/>
      <c r="D134" s="46"/>
      <c r="E134" s="45"/>
      <c r="F134" s="45"/>
      <c r="G134" s="45"/>
      <c r="H134" s="45"/>
      <c r="I134" s="45"/>
      <c r="J134" s="45"/>
      <c r="K134" s="40"/>
      <c r="L134" s="40"/>
      <c r="M134" s="45"/>
      <c r="N134" s="45"/>
      <c r="O134" s="45"/>
    </row>
    <row r="135" spans="1:15" s="36" customFormat="1" ht="20.100000000000001" customHeight="1">
      <c r="A135" s="45"/>
      <c r="B135" s="45"/>
      <c r="C135" s="45"/>
      <c r="D135" s="46"/>
      <c r="E135" s="45"/>
      <c r="F135" s="45"/>
      <c r="G135" s="45"/>
      <c r="H135" s="45"/>
      <c r="I135" s="45"/>
      <c r="J135" s="45"/>
      <c r="K135" s="40"/>
      <c r="L135" s="40"/>
      <c r="M135" s="45"/>
      <c r="N135" s="45"/>
      <c r="O135" s="45"/>
    </row>
    <row r="136" spans="1:15" s="36" customFormat="1" ht="20.100000000000001" customHeight="1">
      <c r="A136" s="45"/>
      <c r="B136" s="45"/>
      <c r="C136" s="45"/>
      <c r="D136" s="46"/>
      <c r="E136" s="45"/>
      <c r="F136" s="45"/>
      <c r="G136" s="45"/>
      <c r="H136" s="45"/>
      <c r="I136" s="45"/>
      <c r="J136" s="45"/>
      <c r="K136" s="40"/>
      <c r="L136" s="40"/>
      <c r="M136" s="45"/>
      <c r="N136" s="45"/>
      <c r="O136" s="45"/>
    </row>
    <row r="137" spans="1:15" s="36" customFormat="1" ht="20.100000000000001" customHeight="1">
      <c r="A137" s="45"/>
      <c r="B137" s="45"/>
      <c r="C137" s="45"/>
      <c r="D137" s="46"/>
      <c r="E137" s="45"/>
      <c r="F137" s="45"/>
      <c r="G137" s="45"/>
      <c r="H137" s="45"/>
      <c r="I137" s="45"/>
      <c r="J137" s="45"/>
      <c r="K137" s="40"/>
      <c r="L137" s="40"/>
      <c r="M137" s="45"/>
      <c r="N137" s="45"/>
      <c r="O137" s="45"/>
    </row>
    <row r="138" spans="1:15" s="36" customFormat="1" ht="20.100000000000001" customHeight="1">
      <c r="A138" s="45"/>
      <c r="B138" s="45"/>
      <c r="C138" s="45"/>
      <c r="D138" s="46"/>
      <c r="E138" s="45"/>
      <c r="F138" s="45"/>
      <c r="G138" s="45"/>
      <c r="H138" s="45"/>
      <c r="I138" s="45"/>
      <c r="J138" s="45"/>
      <c r="K138" s="40"/>
      <c r="L138" s="40"/>
      <c r="M138" s="45"/>
      <c r="N138" s="45"/>
      <c r="O138" s="45"/>
    </row>
    <row r="139" spans="1:15" s="36" customFormat="1" ht="20.100000000000001" customHeight="1">
      <c r="A139" s="45"/>
      <c r="B139" s="45"/>
      <c r="C139" s="45"/>
      <c r="D139" s="46"/>
      <c r="E139" s="45"/>
      <c r="F139" s="45"/>
      <c r="G139" s="45"/>
      <c r="H139" s="45"/>
      <c r="I139" s="45"/>
      <c r="J139" s="45"/>
      <c r="K139" s="40"/>
      <c r="L139" s="40"/>
      <c r="M139" s="45"/>
      <c r="N139" s="45"/>
      <c r="O139" s="45"/>
    </row>
    <row r="140" spans="1:15" s="36" customFormat="1" ht="20.100000000000001" customHeight="1">
      <c r="A140" s="45"/>
      <c r="B140" s="45"/>
      <c r="C140" s="45"/>
      <c r="D140" s="46"/>
      <c r="E140" s="45"/>
      <c r="F140" s="45"/>
      <c r="G140" s="45"/>
      <c r="H140" s="45"/>
      <c r="I140" s="45"/>
      <c r="J140" s="45"/>
      <c r="K140" s="40"/>
      <c r="L140" s="40"/>
      <c r="M140" s="45"/>
      <c r="N140" s="45"/>
      <c r="O140" s="45"/>
    </row>
    <row r="141" spans="1:15" s="36" customFormat="1" ht="20.100000000000001" customHeight="1">
      <c r="A141" s="45"/>
      <c r="B141" s="45"/>
      <c r="C141" s="45"/>
      <c r="D141" s="46"/>
      <c r="E141" s="45"/>
      <c r="F141" s="45"/>
      <c r="G141" s="45"/>
      <c r="H141" s="45"/>
      <c r="I141" s="45"/>
      <c r="J141" s="45"/>
      <c r="K141" s="40"/>
      <c r="L141" s="40"/>
      <c r="M141" s="45"/>
      <c r="N141" s="45"/>
      <c r="O141" s="45"/>
    </row>
    <row r="142" spans="1:15" s="36" customFormat="1" ht="20.100000000000001" customHeight="1">
      <c r="A142" s="45"/>
      <c r="B142" s="45"/>
      <c r="C142" s="45"/>
      <c r="D142" s="46"/>
      <c r="E142" s="45"/>
      <c r="F142" s="45"/>
      <c r="G142" s="45"/>
      <c r="H142" s="45"/>
      <c r="I142" s="45"/>
      <c r="J142" s="45"/>
      <c r="K142" s="40"/>
      <c r="L142" s="40"/>
      <c r="M142" s="45"/>
      <c r="N142" s="45"/>
      <c r="O142" s="45"/>
    </row>
    <row r="143" spans="1:15" s="36" customFormat="1" ht="20.100000000000001" customHeight="1">
      <c r="A143" s="45"/>
      <c r="B143" s="45"/>
      <c r="C143" s="45"/>
      <c r="D143" s="46"/>
      <c r="E143" s="45"/>
      <c r="F143" s="45"/>
      <c r="G143" s="45"/>
      <c r="H143" s="45"/>
      <c r="I143" s="45"/>
      <c r="J143" s="45"/>
      <c r="K143" s="40"/>
      <c r="L143" s="40"/>
      <c r="M143" s="45"/>
      <c r="N143" s="45"/>
      <c r="O143" s="45"/>
    </row>
    <row r="144" spans="1:15" s="36" customFormat="1" ht="20.100000000000001" customHeight="1">
      <c r="A144" s="45"/>
      <c r="B144" s="45"/>
      <c r="C144" s="45"/>
      <c r="D144" s="46"/>
      <c r="E144" s="45"/>
      <c r="F144" s="45"/>
      <c r="G144" s="45"/>
      <c r="H144" s="45"/>
      <c r="I144" s="45"/>
      <c r="J144" s="45"/>
      <c r="K144" s="40"/>
      <c r="L144" s="40"/>
      <c r="M144" s="45"/>
      <c r="N144" s="45"/>
      <c r="O144" s="45"/>
    </row>
    <row r="145" spans="1:15" s="36" customFormat="1" ht="20.100000000000001" customHeight="1">
      <c r="A145" s="45"/>
      <c r="B145" s="45"/>
      <c r="C145" s="45"/>
      <c r="D145" s="46"/>
      <c r="E145" s="45"/>
      <c r="F145" s="45"/>
      <c r="G145" s="45"/>
      <c r="H145" s="45"/>
      <c r="I145" s="45"/>
      <c r="J145" s="45"/>
      <c r="K145" s="40"/>
      <c r="L145" s="40"/>
      <c r="M145" s="45"/>
      <c r="N145" s="45"/>
      <c r="O145" s="45"/>
    </row>
    <row r="146" spans="1:15" s="36" customFormat="1" ht="20.100000000000001" customHeight="1">
      <c r="A146" s="45"/>
      <c r="B146" s="45"/>
      <c r="C146" s="45"/>
      <c r="D146" s="46"/>
      <c r="E146" s="45"/>
      <c r="F146" s="45"/>
      <c r="G146" s="45"/>
      <c r="H146" s="45"/>
      <c r="I146" s="45"/>
      <c r="J146" s="45"/>
      <c r="K146" s="40"/>
      <c r="L146" s="40"/>
      <c r="M146" s="45"/>
      <c r="N146" s="45"/>
      <c r="O146" s="45"/>
    </row>
    <row r="147" spans="1:15" s="36" customFormat="1" ht="20.100000000000001" customHeight="1">
      <c r="A147" s="45"/>
      <c r="B147" s="45"/>
      <c r="C147" s="45"/>
      <c r="D147" s="46"/>
      <c r="E147" s="45"/>
      <c r="F147" s="45"/>
      <c r="G147" s="45"/>
      <c r="H147" s="45"/>
      <c r="I147" s="45"/>
      <c r="J147" s="45"/>
      <c r="K147" s="40"/>
      <c r="L147" s="40"/>
      <c r="M147" s="45"/>
      <c r="N147" s="45"/>
      <c r="O147" s="45"/>
    </row>
    <row r="148" spans="1:15" s="36" customFormat="1" ht="20.100000000000001" customHeight="1">
      <c r="A148" s="45"/>
      <c r="B148" s="45"/>
      <c r="C148" s="45"/>
      <c r="D148" s="46"/>
      <c r="E148" s="45"/>
      <c r="F148" s="45"/>
      <c r="G148" s="45"/>
      <c r="H148" s="45"/>
      <c r="I148" s="45"/>
      <c r="J148" s="45"/>
      <c r="K148" s="40"/>
      <c r="L148" s="40"/>
      <c r="M148" s="45"/>
      <c r="N148" s="45"/>
      <c r="O148" s="45"/>
    </row>
    <row r="149" spans="1:15" s="36" customFormat="1" ht="20.100000000000001" customHeight="1">
      <c r="A149" s="45"/>
      <c r="B149" s="45"/>
      <c r="C149" s="45"/>
      <c r="D149" s="46"/>
      <c r="E149" s="45"/>
      <c r="F149" s="45"/>
      <c r="G149" s="45"/>
      <c r="H149" s="45"/>
      <c r="I149" s="45"/>
      <c r="J149" s="45"/>
      <c r="K149" s="40"/>
      <c r="L149" s="40"/>
      <c r="M149" s="45"/>
      <c r="N149" s="45"/>
      <c r="O149" s="45"/>
    </row>
    <row r="150" spans="1:15" s="36" customFormat="1" ht="20.100000000000001" customHeight="1">
      <c r="A150" s="45"/>
      <c r="B150" s="45"/>
      <c r="C150" s="45"/>
      <c r="D150" s="46"/>
      <c r="E150" s="45"/>
      <c r="F150" s="45"/>
      <c r="G150" s="45"/>
      <c r="H150" s="45"/>
      <c r="I150" s="45"/>
      <c r="J150" s="45"/>
      <c r="K150" s="40"/>
      <c r="L150" s="40"/>
      <c r="M150" s="45"/>
      <c r="N150" s="45"/>
      <c r="O150" s="45"/>
    </row>
    <row r="151" spans="1:15" s="36" customFormat="1" ht="20.100000000000001" customHeight="1">
      <c r="A151" s="45"/>
      <c r="B151" s="45"/>
      <c r="C151" s="45"/>
      <c r="D151" s="46"/>
      <c r="E151" s="45"/>
      <c r="F151" s="45"/>
      <c r="G151" s="45"/>
      <c r="H151" s="45"/>
      <c r="I151" s="45"/>
      <c r="J151" s="45"/>
      <c r="K151" s="40"/>
      <c r="L151" s="40"/>
      <c r="M151" s="45"/>
      <c r="N151" s="45"/>
      <c r="O151" s="45"/>
    </row>
    <row r="152" spans="1:15" s="36" customFormat="1" ht="20.100000000000001" customHeight="1">
      <c r="A152" s="45"/>
      <c r="B152" s="45"/>
      <c r="C152" s="45"/>
      <c r="D152" s="46"/>
      <c r="E152" s="45"/>
      <c r="F152" s="45"/>
      <c r="G152" s="45"/>
      <c r="H152" s="45"/>
      <c r="I152" s="45"/>
      <c r="J152" s="45"/>
      <c r="K152" s="40"/>
      <c r="L152" s="40"/>
      <c r="M152" s="45"/>
      <c r="N152" s="45"/>
      <c r="O152" s="45"/>
    </row>
    <row r="153" spans="1:15" s="36" customFormat="1" ht="20.100000000000001" customHeight="1">
      <c r="A153" s="45"/>
      <c r="B153" s="45"/>
      <c r="C153" s="45"/>
      <c r="D153" s="46"/>
      <c r="E153" s="45"/>
      <c r="F153" s="45"/>
      <c r="G153" s="45"/>
      <c r="H153" s="45"/>
      <c r="I153" s="45"/>
      <c r="J153" s="45"/>
      <c r="K153" s="40"/>
      <c r="L153" s="40"/>
      <c r="M153" s="45"/>
      <c r="N153" s="45"/>
      <c r="O153" s="45"/>
    </row>
    <row r="154" spans="1:15" s="36" customFormat="1" ht="20.100000000000001" customHeight="1">
      <c r="A154" s="45"/>
      <c r="B154" s="45"/>
      <c r="C154" s="45"/>
      <c r="D154" s="46"/>
      <c r="E154" s="45"/>
      <c r="F154" s="45"/>
      <c r="G154" s="45"/>
      <c r="H154" s="45"/>
      <c r="I154" s="45"/>
      <c r="J154" s="45"/>
      <c r="K154" s="40"/>
      <c r="L154" s="40"/>
      <c r="M154" s="45"/>
      <c r="N154" s="45"/>
      <c r="O154" s="45"/>
    </row>
    <row r="155" spans="1:15" s="36" customFormat="1" ht="20.100000000000001" customHeight="1">
      <c r="A155" s="45"/>
      <c r="B155" s="45"/>
      <c r="C155" s="45"/>
      <c r="D155" s="46"/>
      <c r="E155" s="45"/>
      <c r="F155" s="45"/>
      <c r="G155" s="45"/>
      <c r="H155" s="45"/>
      <c r="I155" s="45"/>
      <c r="J155" s="45"/>
      <c r="K155" s="40"/>
      <c r="L155" s="40"/>
      <c r="M155" s="45"/>
      <c r="N155" s="45"/>
      <c r="O155" s="45"/>
    </row>
    <row r="156" spans="1:15" s="36" customFormat="1" ht="20.100000000000001" customHeight="1">
      <c r="A156" s="45"/>
      <c r="B156" s="45"/>
      <c r="C156" s="45"/>
      <c r="D156" s="46"/>
      <c r="E156" s="45"/>
      <c r="F156" s="45"/>
      <c r="G156" s="45"/>
      <c r="H156" s="45"/>
      <c r="I156" s="45"/>
      <c r="J156" s="45"/>
      <c r="K156" s="40"/>
      <c r="L156" s="40"/>
      <c r="M156" s="45"/>
      <c r="N156" s="45"/>
      <c r="O156" s="45"/>
    </row>
    <row r="157" spans="1:15" s="36" customFormat="1" ht="20.100000000000001" customHeight="1">
      <c r="A157" s="45"/>
      <c r="B157" s="45"/>
      <c r="C157" s="45"/>
      <c r="D157" s="46"/>
      <c r="E157" s="45"/>
      <c r="F157" s="45"/>
      <c r="G157" s="45"/>
      <c r="H157" s="45"/>
      <c r="I157" s="45"/>
      <c r="J157" s="45"/>
      <c r="K157" s="40"/>
      <c r="L157" s="40"/>
      <c r="M157" s="45"/>
      <c r="N157" s="45"/>
      <c r="O157" s="45"/>
    </row>
    <row r="158" spans="1:15" s="36" customFormat="1" ht="20.100000000000001" customHeight="1">
      <c r="A158" s="45"/>
      <c r="B158" s="45"/>
      <c r="C158" s="45"/>
      <c r="D158" s="46"/>
      <c r="E158" s="45"/>
      <c r="F158" s="45"/>
      <c r="G158" s="45"/>
      <c r="H158" s="45"/>
      <c r="I158" s="45"/>
      <c r="J158" s="45"/>
      <c r="K158" s="40"/>
      <c r="L158" s="40"/>
      <c r="M158" s="45"/>
      <c r="N158" s="45"/>
      <c r="O158" s="45"/>
    </row>
    <row r="159" spans="1:15" s="36" customFormat="1" ht="20.100000000000001" customHeight="1">
      <c r="A159" s="45"/>
      <c r="B159" s="45"/>
      <c r="C159" s="45"/>
      <c r="D159" s="46"/>
      <c r="E159" s="45"/>
      <c r="F159" s="45"/>
      <c r="G159" s="45"/>
      <c r="H159" s="45"/>
      <c r="I159" s="45"/>
      <c r="J159" s="45"/>
      <c r="K159" s="40"/>
      <c r="L159" s="40"/>
      <c r="M159" s="45"/>
      <c r="N159" s="45"/>
      <c r="O159" s="45"/>
    </row>
    <row r="160" spans="1:15" s="36" customFormat="1" ht="20.100000000000001" customHeight="1">
      <c r="A160" s="45"/>
      <c r="B160" s="45"/>
      <c r="C160" s="45"/>
      <c r="D160" s="46"/>
      <c r="E160" s="45"/>
      <c r="F160" s="45"/>
      <c r="G160" s="45"/>
      <c r="H160" s="45"/>
      <c r="I160" s="45"/>
      <c r="J160" s="45"/>
      <c r="K160" s="40"/>
      <c r="L160" s="40"/>
      <c r="M160" s="45"/>
      <c r="N160" s="45"/>
      <c r="O160" s="45"/>
    </row>
    <row r="161" spans="1:15" s="36" customFormat="1" ht="20.100000000000001" customHeight="1">
      <c r="A161" s="45"/>
      <c r="B161" s="45"/>
      <c r="C161" s="45"/>
      <c r="D161" s="46"/>
      <c r="E161" s="45"/>
      <c r="F161" s="45"/>
      <c r="G161" s="45"/>
      <c r="H161" s="45"/>
      <c r="I161" s="45"/>
      <c r="J161" s="45"/>
      <c r="K161" s="40"/>
      <c r="L161" s="40"/>
      <c r="M161" s="45"/>
      <c r="N161" s="45"/>
      <c r="O161" s="45"/>
    </row>
    <row r="162" spans="1:15" s="36" customFormat="1" ht="20.100000000000001" customHeight="1">
      <c r="A162" s="45"/>
      <c r="B162" s="45"/>
      <c r="C162" s="45"/>
      <c r="D162" s="46"/>
      <c r="E162" s="45"/>
      <c r="F162" s="45"/>
      <c r="G162" s="45"/>
      <c r="H162" s="45"/>
      <c r="I162" s="45"/>
      <c r="J162" s="45"/>
      <c r="K162" s="40"/>
      <c r="L162" s="40"/>
      <c r="M162" s="45"/>
      <c r="N162" s="45"/>
      <c r="O162" s="45"/>
    </row>
  </sheetData>
  <sheetProtection selectLockedCells="1"/>
  <autoFilter ref="A14:O52"/>
  <mergeCells count="2">
    <mergeCell ref="C3:M3"/>
    <mergeCell ref="B8:D9"/>
  </mergeCells>
  <conditionalFormatting sqref="O105:O1048576 O53:O103 O1:O14 O22:O27 O31 O36:O42">
    <cfRule type="beginsWith" dxfId="31" priority="297" operator="beginsWith" text="Sub">
      <formula>LEFT(O1,3)="Sub"</formula>
    </cfRule>
    <cfRule type="beginsWith" dxfId="30" priority="298" operator="beginsWith" text="Main">
      <formula>LEFT(O1,4)="Main"</formula>
    </cfRule>
  </conditionalFormatting>
  <conditionalFormatting sqref="O104">
    <cfRule type="beginsWith" dxfId="29" priority="295" operator="beginsWith" text="Sub">
      <formula>LEFT(O104,3)="Sub"</formula>
    </cfRule>
    <cfRule type="beginsWith" dxfId="28" priority="296" operator="beginsWith" text="Main">
      <formula>LEFT(O104,4)="Main"</formula>
    </cfRule>
  </conditionalFormatting>
  <conditionalFormatting sqref="O32 O46:O47 O20 O15:O17 O51:O52">
    <cfRule type="beginsWith" dxfId="27" priority="53" operator="beginsWith" text="Sub">
      <formula>LEFT(O15,3)="Sub"</formula>
    </cfRule>
    <cfRule type="beginsWith" dxfId="26" priority="54" operator="beginsWith" text="Main">
      <formula>LEFT(O15,4)="Main"</formula>
    </cfRule>
  </conditionalFormatting>
  <conditionalFormatting sqref="O33">
    <cfRule type="beginsWith" dxfId="25" priority="41" operator="beginsWith" text="Sub">
      <formula>LEFT(O33,3)="Sub"</formula>
    </cfRule>
    <cfRule type="beginsWith" dxfId="24" priority="42" operator="beginsWith" text="Main">
      <formula>LEFT(O33,4)="Main"</formula>
    </cfRule>
  </conditionalFormatting>
  <conditionalFormatting sqref="O43:O44">
    <cfRule type="beginsWith" dxfId="23" priority="37" operator="beginsWith" text="Sub">
      <formula>LEFT(O43,3)="Sub"</formula>
    </cfRule>
    <cfRule type="beginsWith" dxfId="22" priority="38" operator="beginsWith" text="Main">
      <formula>LEFT(O43,4)="Main"</formula>
    </cfRule>
  </conditionalFormatting>
  <conditionalFormatting sqref="O21">
    <cfRule type="beginsWith" dxfId="21" priority="35" operator="beginsWith" text="Sub">
      <formula>LEFT(O21,3)="Sub"</formula>
    </cfRule>
    <cfRule type="beginsWith" dxfId="20" priority="36" operator="beginsWith" text="Main">
      <formula>LEFT(O21,4)="Main"</formula>
    </cfRule>
  </conditionalFormatting>
  <conditionalFormatting sqref="O45">
    <cfRule type="beginsWith" dxfId="19" priority="33" operator="beginsWith" text="Sub">
      <formula>LEFT(O45,3)="Sub"</formula>
    </cfRule>
    <cfRule type="beginsWith" dxfId="18" priority="34" operator="beginsWith" text="Main">
      <formula>LEFT(O45,4)="Main"</formula>
    </cfRule>
  </conditionalFormatting>
  <conditionalFormatting sqref="O29">
    <cfRule type="beginsWith" dxfId="17" priority="31" operator="beginsWith" text="Sub">
      <formula>LEFT(O29,3)="Sub"</formula>
    </cfRule>
    <cfRule type="beginsWith" dxfId="16" priority="32" operator="beginsWith" text="Main">
      <formula>LEFT(O29,4)="Main"</formula>
    </cfRule>
  </conditionalFormatting>
  <conditionalFormatting sqref="O19">
    <cfRule type="beginsWith" dxfId="15" priority="29" operator="beginsWith" text="Sub">
      <formula>LEFT(O19,3)="Sub"</formula>
    </cfRule>
    <cfRule type="beginsWith" dxfId="14" priority="30" operator="beginsWith" text="Main">
      <formula>LEFT(O19,4)="Main"</formula>
    </cfRule>
  </conditionalFormatting>
  <conditionalFormatting sqref="O30">
    <cfRule type="beginsWith" dxfId="13" priority="27" operator="beginsWith" text="Sub">
      <formula>LEFT(O30,3)="Sub"</formula>
    </cfRule>
    <cfRule type="beginsWith" dxfId="12" priority="28" operator="beginsWith" text="Main">
      <formula>LEFT(O30,4)="Main"</formula>
    </cfRule>
  </conditionalFormatting>
  <conditionalFormatting sqref="O34:O35">
    <cfRule type="beginsWith" dxfId="11" priority="21" operator="beginsWith" text="Sub">
      <formula>LEFT(O34,3)="Sub"</formula>
    </cfRule>
    <cfRule type="beginsWith" dxfId="10" priority="22" operator="beginsWith" text="Main">
      <formula>LEFT(O34,4)="Main"</formula>
    </cfRule>
  </conditionalFormatting>
  <conditionalFormatting sqref="O48">
    <cfRule type="beginsWith" dxfId="9" priority="11" operator="beginsWith" text="Sub">
      <formula>LEFT(O48,3)="Sub"</formula>
    </cfRule>
    <cfRule type="beginsWith" dxfId="8" priority="12" operator="beginsWith" text="Main">
      <formula>LEFT(O48,4)="Main"</formula>
    </cfRule>
  </conditionalFormatting>
  <conditionalFormatting sqref="O49">
    <cfRule type="beginsWith" dxfId="7" priority="9" operator="beginsWith" text="Sub">
      <formula>LEFT(O49,3)="Sub"</formula>
    </cfRule>
    <cfRule type="beginsWith" dxfId="6" priority="10" operator="beginsWith" text="Main">
      <formula>LEFT(O49,4)="Main"</formula>
    </cfRule>
  </conditionalFormatting>
  <conditionalFormatting sqref="O50">
    <cfRule type="beginsWith" dxfId="5" priority="7" operator="beginsWith" text="Sub">
      <formula>LEFT(O50,3)="Sub"</formula>
    </cfRule>
    <cfRule type="beginsWith" dxfId="4" priority="8" operator="beginsWith" text="Main">
      <formula>LEFT(O50,4)="Main"</formula>
    </cfRule>
  </conditionalFormatting>
  <conditionalFormatting sqref="O28">
    <cfRule type="beginsWith" dxfId="3" priority="3" operator="beginsWith" text="Sub">
      <formula>LEFT(O28,3)="Sub"</formula>
    </cfRule>
    <cfRule type="beginsWith" dxfId="2" priority="4" operator="beginsWith" text="Main">
      <formula>LEFT(O28,4)="Main"</formula>
    </cfRule>
  </conditionalFormatting>
  <conditionalFormatting sqref="O18">
    <cfRule type="beginsWith" dxfId="1" priority="1" operator="beginsWith" text="Sub">
      <formula>LEFT(O18,3)="Sub"</formula>
    </cfRule>
    <cfRule type="beginsWith" dxfId="0" priority="2" operator="beginsWith" text="Main">
      <formula>LEFT(O18,4)="Main"</formula>
    </cfRule>
  </conditionalFormatting>
  <dataValidations count="16">
    <dataValidation type="list" allowBlank="1" showInputMessage="1" showErrorMessage="1" sqref="E6">
      <formula1>"LINE1, LINE2, LINE15, LINE3,LINE 13, LINE4, LINE5, LINE6, LINE 10,R-LINE1, R-LINE2, DVP-STEP2, DVP-STEP3"</formula1>
    </dataValidation>
    <dataValidation type="list" allowBlank="1" showInputMessage="1" showErrorMessage="1" sqref="I6">
      <formula1>"Out of Line,PRE1,G1,G2,G3,G4,G5,G4+G5,G6,G7,G8,G9,G10,G11,G12,G13,G14,G15,G16,G17,G18,G19,G20,G21,G22,G23,G24,G25,G26,G27,G28,G29,G30,G31,G32"</formula1>
    </dataValidation>
    <dataValidation type="list" allowBlank="1" showInputMessage="1" showErrorMessage="1" sqref="L84:L1048576 L51:L52 L36:L38 L42:L46">
      <formula1>"1N Flat,1N Post,1N Roller Post,2N Flat,2N Post,2N Roller Post, Zigzag, Computer Stitching,Taping M/C(1N),Taping M/C(2N),Taping M/C(Zigzag), Folding M/C,Hotmelt Spray,Hammering M/C,Punching M/C,etc.,Handiwork,Serge M/C,Overlock M/C"</formula1>
    </dataValidation>
    <dataValidation type="list" allowBlank="1" showInputMessage="1" showErrorMessage="1" sqref="L6 L53:L83 L40:L41 L15:L35">
      <formula1>"1N Flat,1N Post,1N Roller Post,2N Flat,2N Post,2N Roller Post, Zigzag, Computer Stitching,Taping M/C(1N),Taping M/C(2N),Taping M/C(Zigzag), Folding M/C,Hotmelt Spray,Glueing M/C,Hammering M/C,Punching M/C,etc.,Handiwork,Serge M/C,Overlock M/C,Hotmelt M/C"</formula1>
    </dataValidation>
    <dataValidation type="list" allowBlank="1" showInputMessage="1" showErrorMessage="1" sqref="K6 L39 K15:K1048576">
      <formula1>"1N Flat,1N Post, 2N Flat, 2N Post,Zigzag,Computer Stitching,Taping w/ M/C,Folding w/ M/C,Turn Over Collar Lining,Hammering,Punching,etc.,Handiwork,Serge,Overlock"</formula1>
    </dataValidation>
    <dataValidation type="list" allowBlank="1" showInputMessage="1" showErrorMessage="1" sqref="O6 O15:O1048576">
      <formula1>"Main, Sub"</formula1>
    </dataValidation>
    <dataValidation type="list" allowBlank="1" showInputMessage="1" showErrorMessage="1" sqref="E54:E1048576">
      <formula1>"LINE1, LINE2, LINE3, LINE4, LINE5, LINE6, R-LINE1, R-LINE2, DVP-STEP2, DVP-STEP3"</formula1>
    </dataValidation>
    <dataValidation type="list" allowBlank="1" showInputMessage="1" showErrorMessage="1" sqref="F54:F1048576">
      <formula1>BUYER</formula1>
    </dataValidation>
    <dataValidation type="list" allowBlank="1" showInputMessage="1" showErrorMessage="1" sqref="G54:G1048576">
      <formula1>MODEL</formula1>
    </dataValidation>
    <dataValidation type="list" allowBlank="1" showInputMessage="1" showErrorMessage="1" sqref="I53:I1048576">
      <formula1>"G1,G2,G3,G4,G5,G4+G5,G6,G7,G8,G9,Out of line 1, Out of line 2,G10,Out of line1,Out of line2,G11,G12,G13,G14,G15,G16,G17,G18,G19,G20,G21,G22,G23,G24,G25,G26,G27,G28,G29,G30,G31,G32"</formula1>
    </dataValidation>
    <dataValidation type="list" allowBlank="1" showInputMessage="1" showErrorMessage="1" sqref="L47:L50">
      <formula1>"Hotmelt M/c, 1N Flat,1N Post,1N Roller Post,2N Flat,2N Post,2N Roller Post, Zigzag, Computer Stitching,Taping M/C(1N),Taping M/C(2N),Taping M/C(Zigzag), Folding M/C,Hotmelt Spray,Hammering M/C,Punching M/C,etc.,Handiwork,Serge M/C,Overlock M/C"</formula1>
    </dataValidation>
    <dataValidation type="list" allowBlank="1" showInputMessage="1" showErrorMessage="1" sqref="I15">
      <formula1>"Pre 1,Pre 2,G1,G2,G3,G4,G5,G4+G5,G6,G7,G8,G9,G10,G11,G12,G13,G14,G15,G16,G17,G18,G19,G20,G21,G22,G23,G24,G25,G26,G27,G28,G29,G30,G31,G32"</formula1>
    </dataValidation>
    <dataValidation type="list" allowBlank="1" showInputMessage="1" showErrorMessage="1" sqref="I20:I23 I33:I41">
      <formula1>"G1,G2,G3,G4,G5,G4+G5,G6,G7,G8,G9,G10,G11,G12,G13,G14,G15,G16,G17,G18,G19,G20,G21,G22,G23,G24,G25,G26,G27,G28,G29,G30,G31,G32"</formula1>
    </dataValidation>
    <dataValidation type="list" allowBlank="1" showInputMessage="1" showErrorMessage="1" sqref="I42:I52 I24:I32">
      <formula1>"G1,G2,G3,G4,G5,G6,G7,G8,G9,G10,G11,G12,G13,G14,G15,G16,G17,G18,G19,G20,G21,G22,G23,G24,G25,G26,G27,G28,G29,G30,G31,G32,Pre1,Pre2"</formula1>
    </dataValidation>
    <dataValidation type="list" allowBlank="1" showInputMessage="1" showErrorMessage="1" sqref="I16:I19">
      <formula1>"Pre 1,G1,G2,G3,G4,G5,G4+G5,G6,G7,G8,G9,G10,G11,G12,G13,G14,G15,G16,G17,G18,G19,G20,G21,G22,G23,G24,G25,G26,G27,G28,G29,G30,G31,G32"</formula1>
    </dataValidation>
    <dataValidation type="list" allowBlank="1" showInputMessage="1" showErrorMessage="1" sqref="E15:E53">
      <formula1>"LINE1, LINE2, LINE3, LINE4, LINE13, LINE5, LINE6, R-LINE1, R-LINE2, DVP-STEP2, DVP-STEP3"</formula1>
    </dataValidation>
  </dataValidations>
  <printOptions horizontalCentered="1" verticalCentered="1"/>
  <pageMargins left="0.70866141732283505" right="0.70866141732283505" top="0.74803149606299202" bottom="0.74803149606299202" header="0.31496062992126" footer="0.31496062992126"/>
  <pageSetup paperSize="9" scale="54" orientation="landscape" horizontalDpi="200" verticalDpi="200" r:id="rId1"/>
  <colBreaks count="1" manualBreakCount="1">
    <brk id="16" max="1048575" man="1"/>
  </colBreaks>
  <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Namelist!$B$5:$B$18</xm:f>
          </x14:formula1>
          <xm:sqref>F6</xm:sqref>
        </x14:dataValidation>
        <x14:dataValidation type="list" allowBlank="1" showInputMessage="1" showErrorMessage="1">
          <x14:formula1>
            <xm:f>Namelist!$D$5:$D$28</xm:f>
          </x14:formula1>
          <xm:sqref>G6</xm:sqref>
        </x14:dataValidation>
        <x14:dataValidation type="list" allowBlank="1" showInputMessage="1" showErrorMessage="1">
          <x14:formula1>
            <xm:f>Namelist!$B$5:$B$17</xm:f>
          </x14:formula1>
          <xm:sqref>F15:F53</xm:sqref>
        </x14:dataValidation>
        <x14:dataValidation type="list" allowBlank="1" showInputMessage="1" showErrorMessage="1">
          <x14:formula1>
            <xm:f>Namelist!$D$5:$D$26</xm:f>
          </x14:formula1>
          <xm:sqref>G15:G53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HR_data</vt:lpstr>
      <vt:lpstr>Namelist</vt:lpstr>
      <vt:lpstr>Result</vt:lpstr>
      <vt:lpstr>Result!Print_Area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2006-09-13T11:19:49Z</dcterms:created>
  <dcterms:modified xsi:type="dcterms:W3CDTF">2020-04-20T08:17:39Z</dcterms:modified>
</cp:coreProperties>
</file>